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conômico" sheetId="2" state="visible" r:id="rId2"/>
    <sheet name="Equilibrado" sheetId="3" state="visible" r:id="rId3"/>
    <sheet name="Premium" sheetId="4" state="visible" r:id="rId4"/>
    <sheet name="Quantitativos" sheetId="5" state="visible" r:id="rId5"/>
  </sheets>
  <definedNames>
    <definedName name="pe_direito">Quantitativos!$C$4</definedName>
    <definedName name="parede_e_comp">Quantitativos!$C$5</definedName>
    <definedName name="janela_l">Quantitativos!$C$6</definedName>
    <definedName name="janela_h">Quantitativos!$C$7</definedName>
    <definedName name="parede_c_comp">Quantitativos!$C$8</definedName>
    <definedName name="bwc_trechos">Quantitativos!$C$9</definedName>
    <definedName name="porta_bwc_l">Quantitativos!$C$10</definedName>
    <definedName name="porta_h">Quantitativos!$C$11</definedName>
    <definedName name="faixa">Quantitativos!$C$12</definedName>
    <definedName name="porta_ent_l">Quantitativos!$C$13</definedName>
    <definedName name="parede_d_comp">Quantitativos!$C$14</definedName>
    <definedName name="teto_faixa_l">Quantitativos!$C$15</definedName>
    <definedName name="area_e">Quantitativos!$C$16</definedName>
    <definedName name="area_c">Quantitativos!$C$17</definedName>
    <definedName name="area_bwc">Quantitativos!$C$18</definedName>
    <definedName name="area_leste">Quantitativos!$C$19</definedName>
    <definedName name="area_paredes">Quantitativos!$C$20</definedName>
    <definedName name="area_teto">Quantitativos!$C$21</definedName>
    <definedName name="area_pintura_total">Quantitativos!$C$22</definedName>
    <definedName name="area_ripado">Quantitativos!$C$23</definedName>
    <definedName name="demaos_parede">Quantitativos!$C$24</definedName>
    <definedName name="demaos_teto">Quantitativos!$C$25</definedName>
    <definedName name="perda_tinta">Quantitativos!$C$26</definedName>
    <definedName name="rend_galao">Quantitativos!$C$27</definedName>
    <definedName name="galoes_parede">Quantitativos!$C$28</definedName>
    <definedName name="galoes_teto">Quantitativos!$C$29</definedName>
    <definedName name="led_prateleira">Quantitativos!$C$30</definedName>
    <definedName name="led_vertical">Quantitativos!$C$31</definedName>
    <definedName name="led_nichos">Quantitativos!$C$32</definedName>
    <definedName name="n_verticais">Quantitativos!$C$33</definedName>
    <definedName name="perda_led">Quantitativos!$C$34</definedName>
    <definedName name="metros_led">Quantitativos!$C$35</definedName>
    <definedName name="rolos_led">Quantitativos!$C$36</definedName>
    <definedName name="barras_perfil">Quantitativos!$C$37</definedName>
    <definedName name="n_verticais_prem">Quantitativos!$C$38</definedName>
    <definedName name="metros_led_prem">Quantitativos!$C$39</definedName>
    <definedName name="rolos_led_prem">Quantitativos!$C$40</definedName>
    <definedName name="barras_perfil_prem">Quantitativos!$C$41</definedName>
    <definedName name="contingencia">Quantitativos!$C$42</definedName>
    <definedName name="_xlnm._FilterDatabase" localSheetId="1" hidden="1">'Econômico'!$A$3:$M$40</definedName>
    <definedName name="_xlnm._FilterDatabase" localSheetId="2" hidden="1">'Equilibrado'!$A$3:$M$40</definedName>
    <definedName name="_xlnm._FilterDatabase" localSheetId="3" hidden="1">'Premium'!$A$3:$M$40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F5FE0"/>
    </font>
    <font>
      <color rgb="001F5FE0"/>
      <u val="single"/>
    </font>
    <font>
      <color rgb="001F5FE0"/>
    </font>
    <font>
      <b val="1"/>
    </font>
    <font>
      <b val="1"/>
      <sz val="14"/>
    </font>
    <font/>
  </fonts>
  <fills count="4">
    <fill>
      <patternFill/>
    </fill>
    <fill>
      <patternFill patternType="gray125"/>
    </fill>
    <fill>
      <patternFill patternType="solid">
        <fgColor rgb="002E3033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164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2" fontId="0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64" fontId="5" fillId="3" borderId="1" pivotButton="0" quotePrefix="0" xfId="0"/>
    <xf numFmtId="164" fontId="0" fillId="3" borderId="1" pivotButton="0" quotePrefix="0" xfId="0"/>
    <xf numFmtId="2" fontId="3" fillId="0" borderId="0" pivotButton="0" quotePrefix="0" xfId="0"/>
    <xf numFmtId="2" fontId="0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ichau.com.br/mesa-pichau-starlift-pro-com-regulagem-de-altura-160x80cm-preto" TargetMode="External" Id="rId1" /><Relationship Type="http://schemas.openxmlformats.org/officeDocument/2006/relationships/hyperlink" Target="https://www.amazon.com.br/dp/B0FSXG2BJ5" TargetMode="External" Id="rId2" /><Relationship Type="http://schemas.openxmlformats.org/officeDocument/2006/relationships/hyperlink" Target="https://www.pichau.com.br/cadeira-ergonomica-dt3-worka-preto-14961-1" TargetMode="External" Id="rId3" /><Relationship Type="http://schemas.openxmlformats.org/officeDocument/2006/relationships/hyperlink" Target="https://www.amazon.com.br/dp/B0C4648NG8" TargetMode="External" Id="rId4" /><Relationship Type="http://schemas.openxmlformats.org/officeDocument/2006/relationships/hyperlink" Target="https://www.amazon.com.br/dp/B0H6NHQXHW" TargetMode="External" Id="rId5" /><Relationship Type="http://schemas.openxmlformats.org/officeDocument/2006/relationships/hyperlink" Target="https://www.amazon.com.br/dp/B0HPF7JM1G" TargetMode="External" Id="rId6" /><Relationship Type="http://schemas.openxmlformats.org/officeDocument/2006/relationships/hyperlink" Target="https://www.amazon.com.br/dp/B0GBY67PN3" TargetMode="External" Id="rId7" /><Relationship Type="http://schemas.openxmlformats.org/officeDocument/2006/relationships/hyperlink" Target="https://www.amazon.com.br/dp/B0H7CQ2BY2" TargetMode="External" Id="rId8" /><Relationship Type="http://schemas.openxmlformats.org/officeDocument/2006/relationships/hyperlink" Target="https://www.amazon.com.br/dp/B0F1ZBZZTP" TargetMode="External" Id="rId9" /><Relationship Type="http://schemas.openxmlformats.org/officeDocument/2006/relationships/hyperlink" Target="https://www.amazon.com.br/dp/B0FJH6572V" TargetMode="External" Id="rId10" /><Relationship Type="http://schemas.openxmlformats.org/officeDocument/2006/relationships/hyperlink" Target="https://www.amazon.com.br/dp/B0GXZ9CN8M" TargetMode="External" Id="rId11" /><Relationship Type="http://schemas.openxmlformats.org/officeDocument/2006/relationships/hyperlink" Target="https://www.amazon.com.br/dp/B0DND64VLW" TargetMode="External" Id="rId12" /><Relationship Type="http://schemas.openxmlformats.org/officeDocument/2006/relationships/hyperlink" Target="https://www.amazon.com.br/dp/B0HNY3SPM6" TargetMode="External" Id="rId13" /><Relationship Type="http://schemas.openxmlformats.org/officeDocument/2006/relationships/hyperlink" Target="https://www.amazon.com.br/dp/B0G62TWLCN" TargetMode="External" Id="rId14" /><Relationship Type="http://schemas.openxmlformats.org/officeDocument/2006/relationships/hyperlink" Target="https://www.amazon.com.br/dp/B0G62TCBGG" TargetMode="External" Id="rId15" /><Relationship Type="http://schemas.openxmlformats.org/officeDocument/2006/relationships/hyperlink" Target="https://www.amazon.com.br/dp/B0H6CMVSRL" TargetMode="External" Id="rId16" /><Relationship Type="http://schemas.openxmlformats.org/officeDocument/2006/relationships/hyperlink" Target="https://www.amazon.com.br/dp/B0H8BCLC4J" TargetMode="External" Id="rId17" /><Relationship Type="http://schemas.openxmlformats.org/officeDocument/2006/relationships/hyperlink" Target="https://www.amazon.com.br/dp/B0GVPX4YVY" TargetMode="External" Id="rId18" /><Relationship Type="http://schemas.openxmlformats.org/officeDocument/2006/relationships/hyperlink" Target="https://www.amazon.com.br/dp/B0GXCDQG6W" TargetMode="External" Id="rId19" /><Relationship Type="http://schemas.openxmlformats.org/officeDocument/2006/relationships/hyperlink" Target="https://www.amazon.com.br/dp/B0D8V17JSG" TargetMode="External" Id="rId20" /><Relationship Type="http://schemas.openxmlformats.org/officeDocument/2006/relationships/hyperlink" Target="https://www.amazon.com.br/dp/B089M44PPG" TargetMode="External" Id="rId21" /><Relationship Type="http://schemas.openxmlformats.org/officeDocument/2006/relationships/hyperlink" Target="https://www.amazon.com.br/dp/B08R58CWKD" TargetMode="External" Id="rId22" /><Relationship Type="http://schemas.openxmlformats.org/officeDocument/2006/relationships/hyperlink" Target="https://www.amazon.com.br/dp/B0GWNHFSCY" TargetMode="External" Id="rId23" /><Relationship Type="http://schemas.openxmlformats.org/officeDocument/2006/relationships/hyperlink" Target="https://www.amazon.com.br/dp/B0H13G1VTW" TargetMode="External" Id="rId2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ichau.com.br/mesa-pichau-starlift-pro-com-regulagem-de-altura-160x80cm-preto" TargetMode="External" Id="rId1" /><Relationship Type="http://schemas.openxmlformats.org/officeDocument/2006/relationships/hyperlink" Target="https://www.pichau.com.br/cadeira-ergonomica-dt3-elin-black-14881-2" TargetMode="External" Id="rId2" /><Relationship Type="http://schemas.openxmlformats.org/officeDocument/2006/relationships/hyperlink" Target="https://www.amazon.com.br/dp/B0D1J7X17Z" TargetMode="External" Id="rId3" /><Relationship Type="http://schemas.openxmlformats.org/officeDocument/2006/relationships/hyperlink" Target="https://www.amazon.com.br/dp/B0765KZDWP" TargetMode="External" Id="rId4" /><Relationship Type="http://schemas.openxmlformats.org/officeDocument/2006/relationships/hyperlink" Target="https://www.amazon.com.br/dp/B0F7ZGD3M2" TargetMode="External" Id="rId5" /><Relationship Type="http://schemas.openxmlformats.org/officeDocument/2006/relationships/hyperlink" Target="https://www.amazon.com.br/dp/B0H7CQ2BY2" TargetMode="External" Id="rId6" /><Relationship Type="http://schemas.openxmlformats.org/officeDocument/2006/relationships/hyperlink" Target="https://www.amazon.com.br/dp/B0F1ZBZZTP" TargetMode="External" Id="rId7" /><Relationship Type="http://schemas.openxmlformats.org/officeDocument/2006/relationships/hyperlink" Target="https://www.amazon.com.br/dp/B0FS91PKKL" TargetMode="External" Id="rId8" /><Relationship Type="http://schemas.openxmlformats.org/officeDocument/2006/relationships/hyperlink" Target="https://www.amazon.com.br/dp/B0B6P9J3J5" TargetMode="External" Id="rId9" /><Relationship Type="http://schemas.openxmlformats.org/officeDocument/2006/relationships/hyperlink" Target="https://www.amazon.com.br/dp/B0DND64VLW" TargetMode="External" Id="rId10" /><Relationship Type="http://schemas.openxmlformats.org/officeDocument/2006/relationships/hyperlink" Target="https://www.amazon.com.br/dp/B0HNY3SPM6" TargetMode="External" Id="rId11" /><Relationship Type="http://schemas.openxmlformats.org/officeDocument/2006/relationships/hyperlink" Target="https://www.amazon.com.br/dp/B077G771GN" TargetMode="External" Id="rId12" /><Relationship Type="http://schemas.openxmlformats.org/officeDocument/2006/relationships/hyperlink" Target="https://www.amazon.com.br/dp/B077G6GQSP" TargetMode="External" Id="rId13" /><Relationship Type="http://schemas.openxmlformats.org/officeDocument/2006/relationships/hyperlink" Target="https://www.amazon.com.br/dp/B0H6CMVSRL" TargetMode="External" Id="rId14" /><Relationship Type="http://schemas.openxmlformats.org/officeDocument/2006/relationships/hyperlink" Target="https://www.amazon.com.br/dp/B0H8BCLC4J" TargetMode="External" Id="rId15" /><Relationship Type="http://schemas.openxmlformats.org/officeDocument/2006/relationships/hyperlink" Target="https://www.amazon.com.br/dp/B0GVPX4YVY" TargetMode="External" Id="rId16" /><Relationship Type="http://schemas.openxmlformats.org/officeDocument/2006/relationships/hyperlink" Target="https://www.amazon.com.br/dp/B0GXCDQG6W" TargetMode="External" Id="rId17" /><Relationship Type="http://schemas.openxmlformats.org/officeDocument/2006/relationships/hyperlink" Target="https://www.amazon.com.br/dp/B0D8V17JSG" TargetMode="External" Id="rId18" /><Relationship Type="http://schemas.openxmlformats.org/officeDocument/2006/relationships/hyperlink" Target="https://www.amazon.com.br/dp/B089M44PPG" TargetMode="External" Id="rId19" /><Relationship Type="http://schemas.openxmlformats.org/officeDocument/2006/relationships/hyperlink" Target="https://www.amazon.com.br/dp/B0GJRDZM82" TargetMode="External" Id="rId20" /><Relationship Type="http://schemas.openxmlformats.org/officeDocument/2006/relationships/hyperlink" Target="https://www.amazon.com.br/dp/B0H13G1VTW" TargetMode="Externa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om.br/dp/B0H45N1KWD" TargetMode="External" Id="rId1" /><Relationship Type="http://schemas.openxmlformats.org/officeDocument/2006/relationships/hyperlink" Target="https://www.pichau.com.br/cadeira-ergonomica-dt3-ergonomie-preto-14435-7" TargetMode="External" Id="rId2" /><Relationship Type="http://schemas.openxmlformats.org/officeDocument/2006/relationships/hyperlink" Target="https://www.amazon.com.br/dp/B0D54VM511" TargetMode="External" Id="rId3" /><Relationship Type="http://schemas.openxmlformats.org/officeDocument/2006/relationships/hyperlink" Target="https://www.amazon.com.br/dp/B0HKLNT1LN" TargetMode="External" Id="rId4" /><Relationship Type="http://schemas.openxmlformats.org/officeDocument/2006/relationships/hyperlink" Target="https://www.amazon.com.br/dp/B0F7ZGD3M2" TargetMode="External" Id="rId5" /><Relationship Type="http://schemas.openxmlformats.org/officeDocument/2006/relationships/hyperlink" Target="https://www.amazon.com.br/dp/B0H7CQ2BY2" TargetMode="External" Id="rId6" /><Relationship Type="http://schemas.openxmlformats.org/officeDocument/2006/relationships/hyperlink" Target="https://www.amazon.com.br/dp/B0F1ZBZZTP" TargetMode="External" Id="rId7" /><Relationship Type="http://schemas.openxmlformats.org/officeDocument/2006/relationships/hyperlink" Target="https://www.amazon.com.br/dp/B0FS91PKKL" TargetMode="External" Id="rId8" /><Relationship Type="http://schemas.openxmlformats.org/officeDocument/2006/relationships/hyperlink" Target="https://www.amazon.com.br/dp/B0CZ9P1QW9" TargetMode="External" Id="rId9" /><Relationship Type="http://schemas.openxmlformats.org/officeDocument/2006/relationships/hyperlink" Target="https://www.amazon.com.br/dp/B094QSBVNB" TargetMode="External" Id="rId10" /><Relationship Type="http://schemas.openxmlformats.org/officeDocument/2006/relationships/hyperlink" Target="https://www.amazon.com.br/dp/B0HNY3SPM6" TargetMode="External" Id="rId11" /><Relationship Type="http://schemas.openxmlformats.org/officeDocument/2006/relationships/hyperlink" Target="https://www.amazon.com.br/dp/B077G8JCN6" TargetMode="External" Id="rId12" /><Relationship Type="http://schemas.openxmlformats.org/officeDocument/2006/relationships/hyperlink" Target="https://www.amazon.com.br/dp/B077G6GQSP" TargetMode="External" Id="rId13" /><Relationship Type="http://schemas.openxmlformats.org/officeDocument/2006/relationships/hyperlink" Target="https://www.amazon.com.br/dp/B0HCR49N2B" TargetMode="External" Id="rId14" /><Relationship Type="http://schemas.openxmlformats.org/officeDocument/2006/relationships/hyperlink" Target="https://www.amazon.com.br/dp/B0H6CMVSRL" TargetMode="External" Id="rId15" /><Relationship Type="http://schemas.openxmlformats.org/officeDocument/2006/relationships/hyperlink" Target="https://www.amazon.com.br/dp/B0H8BCLC4J" TargetMode="External" Id="rId16" /><Relationship Type="http://schemas.openxmlformats.org/officeDocument/2006/relationships/hyperlink" Target="https://www.amazon.com.br/dp/B0GVPX4YVY" TargetMode="External" Id="rId17" /><Relationship Type="http://schemas.openxmlformats.org/officeDocument/2006/relationships/hyperlink" Target="https://www.amazon.com.br/dp/B0GXCDQG6W" TargetMode="External" Id="rId18" /><Relationship Type="http://schemas.openxmlformats.org/officeDocument/2006/relationships/hyperlink" Target="https://www.amazon.com.br/dp/B0D8V17JSG" TargetMode="External" Id="rId19" /><Relationship Type="http://schemas.openxmlformats.org/officeDocument/2006/relationships/hyperlink" Target="https://www.amazon.com.br/dp/B089M44PPG" TargetMode="External" Id="rId20" /><Relationship Type="http://schemas.openxmlformats.org/officeDocument/2006/relationships/hyperlink" Target="https://www.amazon.com.br/dp/B0HFNYSZHZ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Resumo do orçamento — Suíte 01 (quarto + escritório)</t>
        </is>
      </c>
    </row>
    <row r="2">
      <c r="A2" t="inlineStr">
        <is>
          <t>Valores em R$. Preços consultados em 30/10/2026. Linhas em laranja nas abas = estimativas. Teto de orçamento: não informado.</t>
        </is>
      </c>
    </row>
    <row r="4">
      <c r="A4" s="2" t="inlineStr">
        <is>
          <t>Categoria</t>
        </is>
      </c>
      <c r="B4" s="2" t="inlineStr">
        <is>
          <t>Econômico</t>
        </is>
      </c>
      <c r="C4" s="2" t="inlineStr">
        <is>
          <t>Equilibrado</t>
        </is>
      </c>
      <c r="D4" s="2" t="inlineStr">
        <is>
          <t>Premium</t>
        </is>
      </c>
    </row>
    <row r="5">
      <c r="A5" t="inlineStr">
        <is>
          <t>Mobiliário</t>
        </is>
      </c>
      <c r="B5" s="3">
        <f>SUMIF('Econômico'!$A:$A,$A5,'Econômico'!$M:$M)</f>
        <v/>
      </c>
      <c r="C5" s="3">
        <f>SUMIF('Equilibrado'!$A:$A,$A5,'Equilibrado'!$M:$M)</f>
        <v/>
      </c>
      <c r="D5" s="3">
        <f>SUMIF('Premium'!$A:$A,$A5,'Premium'!$M:$M)</f>
        <v/>
      </c>
    </row>
    <row r="6">
      <c r="A6" t="inlineStr">
        <is>
          <t>Marcenaria</t>
        </is>
      </c>
      <c r="B6" s="3">
        <f>SUMIF('Econômico'!$A:$A,$A6,'Econômico'!$M:$M)</f>
        <v/>
      </c>
      <c r="C6" s="3">
        <f>SUMIF('Equilibrado'!$A:$A,$A6,'Equilibrado'!$M:$M)</f>
        <v/>
      </c>
      <c r="D6" s="3">
        <f>SUMIF('Premium'!$A:$A,$A6,'Premium'!$M:$M)</f>
        <v/>
      </c>
    </row>
    <row r="7">
      <c r="A7" t="inlineStr">
        <is>
          <t>Iluminação</t>
        </is>
      </c>
      <c r="B7" s="3">
        <f>SUMIF('Econômico'!$A:$A,$A7,'Econômico'!$M:$M)</f>
        <v/>
      </c>
      <c r="C7" s="3">
        <f>SUMIF('Equilibrado'!$A:$A,$A7,'Equilibrado'!$M:$M)</f>
        <v/>
      </c>
      <c r="D7" s="3">
        <f>SUMIF('Premium'!$A:$A,$A7,'Premium'!$M:$M)</f>
        <v/>
      </c>
    </row>
    <row r="8">
      <c r="A8" t="inlineStr">
        <is>
          <t>Pintura</t>
        </is>
      </c>
      <c r="B8" s="3">
        <f>SUMIF('Econômico'!$A:$A,$A8,'Econômico'!$M:$M)</f>
        <v/>
      </c>
      <c r="C8" s="3">
        <f>SUMIF('Equilibrado'!$A:$A,$A8,'Equilibrado'!$M:$M)</f>
        <v/>
      </c>
      <c r="D8" s="3">
        <f>SUMIF('Premium'!$A:$A,$A8,'Premium'!$M:$M)</f>
        <v/>
      </c>
    </row>
    <row r="9">
      <c r="A9" t="inlineStr">
        <is>
          <t>Complementares</t>
        </is>
      </c>
      <c r="B9" s="3">
        <f>SUMIF('Econômico'!$A:$A,$A9,'Econômico'!$M:$M)</f>
        <v/>
      </c>
      <c r="C9" s="3">
        <f>SUMIF('Equilibrado'!$A:$A,$A9,'Equilibrado'!$M:$M)</f>
        <v/>
      </c>
      <c r="D9" s="3">
        <f>SUMIF('Premium'!$A:$A,$A9,'Premium'!$M:$M)</f>
        <v/>
      </c>
    </row>
    <row r="10">
      <c r="A10" t="inlineStr">
        <is>
          <t>Decoração (opcional)</t>
        </is>
      </c>
      <c r="B10" s="3">
        <f>SUMIF('Econômico'!$A:$A,$A10,'Econômico'!$M:$M)</f>
        <v/>
      </c>
      <c r="C10" s="3">
        <f>SUMIF('Equilibrado'!$A:$A,$A10,'Equilibrado'!$M:$M)</f>
        <v/>
      </c>
      <c r="D10" s="3">
        <f>SUMIF('Premium'!$A:$A,$A10,'Premium'!$M:$M)</f>
        <v/>
      </c>
    </row>
    <row r="11">
      <c r="A11" t="inlineStr">
        <is>
          <t>Serviços</t>
        </is>
      </c>
      <c r="B11" s="3">
        <f>SUMIF('Econômico'!$A:$A,$A11,'Econômico'!$M:$M)</f>
        <v/>
      </c>
      <c r="C11" s="3">
        <f>SUMIF('Equilibrado'!$A:$A,$A11,'Equilibrado'!$M:$M)</f>
        <v/>
      </c>
      <c r="D11" s="3">
        <f>SUMIF('Premium'!$A:$A,$A11,'Premium'!$M:$M)</f>
        <v/>
      </c>
    </row>
    <row r="12">
      <c r="A12" s="4" t="inlineStr">
        <is>
          <t>Subtotal itens</t>
        </is>
      </c>
      <c r="B12" s="3">
        <f>SUM(B5:B11)</f>
        <v/>
      </c>
      <c r="C12" s="3">
        <f>SUM(C5:C11)</f>
        <v/>
      </c>
      <c r="D12" s="3">
        <f>SUM(D5:D11)</f>
        <v/>
      </c>
    </row>
    <row r="13">
      <c r="A13" s="5" t="inlineStr">
        <is>
          <t>Reserva para imprevistos (10%)</t>
        </is>
      </c>
      <c r="B13" s="3">
        <f>B12*contingencia</f>
        <v/>
      </c>
      <c r="C13" s="3">
        <f>C12*contingencia</f>
        <v/>
      </c>
      <c r="D13" s="3">
        <f>D12*contingencia</f>
        <v/>
      </c>
    </row>
    <row r="14">
      <c r="A14" s="4" t="inlineStr">
        <is>
          <t>TOTAL</t>
        </is>
      </c>
      <c r="B14" s="6">
        <f>B12+B13</f>
        <v/>
      </c>
      <c r="C14" s="6">
        <f>C12+C13</f>
        <v/>
      </c>
      <c r="D14" s="6">
        <f>D12+D13</f>
        <v/>
      </c>
    </row>
    <row r="15">
      <c r="A15" s="5" t="inlineStr"/>
    </row>
    <row r="16">
      <c r="A16" s="5" t="inlineStr">
        <is>
          <t>dos quais: preços pesquisados</t>
        </is>
      </c>
      <c r="B16" s="3">
        <f>SUMIF('Econômico'!$H:$H,"Pesquisado (página do produto)",'Econômico'!$M:$M)+SUMIF('Econômico'!$H:$H,"Pesquisado (listagem da loja)",'Econômico'!$M:$M)</f>
        <v/>
      </c>
      <c r="C16" s="3">
        <f>SUMIF('Equilibrado'!$H:$H,"Pesquisado (página do produto)",'Equilibrado'!$M:$M)+SUMIF('Equilibrado'!$H:$H,"Pesquisado (listagem da loja)",'Equilibrado'!$M:$M)</f>
        <v/>
      </c>
      <c r="D16" s="3">
        <f>SUMIF('Premium'!$H:$H,"Pesquisado (página do produto)",'Premium'!$M:$M)+SUMIF('Premium'!$H:$H,"Pesquisado (listagem da loja)",'Premium'!$M:$M)</f>
        <v/>
      </c>
    </row>
    <row r="17">
      <c r="A17" s="5" t="inlineStr">
        <is>
          <t>dos quais: estimativas</t>
        </is>
      </c>
      <c r="B17" s="3">
        <f>SUMIF('Econômico'!$H:$H,"Estimativa",'Econômico'!$M:$M)</f>
        <v/>
      </c>
      <c r="C17" s="3">
        <f>SUMIF('Equilibrado'!$H:$H,"Estimativa",'Equilibrado'!$M:$M)</f>
        <v/>
      </c>
      <c r="D17" s="3">
        <f>SUMIF('Premium'!$H:$H,"Estimativa",'Premium'!$M:$M)</f>
        <v/>
      </c>
    </row>
    <row r="19">
      <c r="A19" s="4" t="inlineStr">
        <is>
          <t>Notas:</t>
        </is>
      </c>
    </row>
    <row r="20">
      <c r="A20" s="5" t="inlineStr">
        <is>
          <t>• Piso de madeira colante: fora do orçamento, conforme combinado.</t>
        </is>
      </c>
    </row>
    <row r="21">
      <c r="A21" s="5" t="inlineStr">
        <is>
          <t>• Preços Pichau = à vista no PIX. Amazon = preço do anúncio no dia; frete pode variar por CEP.</t>
        </is>
      </c>
    </row>
    <row r="22">
      <c r="A22" s="5" t="inlineStr">
        <is>
          <t>• Tinta grafite: o preço é o da base branca; a cor preparada em loja pode custar mais. Confirmar na loja.</t>
        </is>
      </c>
    </row>
    <row r="23">
      <c r="A23" s="5" t="inlineStr">
        <is>
          <t>• Marcenaria (ripado, tampo, prateleira) e mão de obra = estimativas por faixa de mercado; pedir 3 orçamentos locais.</t>
        </is>
      </c>
    </row>
    <row r="24">
      <c r="A24" s="5" t="inlineStr">
        <is>
          <t>• Premium: a estrutura Marsail é vendida pela Amazon Global (importação); prazo e impostos podem variar.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58" customWidth="1" min="3" max="3"/>
    <col width="18" customWidth="1" min="4" max="4"/>
    <col width="48" customWidth="1" min="5" max="5"/>
    <col width="20" customWidth="1" min="6" max="6"/>
    <col width="18" customWidth="1" min="7" max="7"/>
    <col width="26" customWidth="1" min="8" max="8"/>
    <col width="11" customWidth="1" min="9" max="9"/>
    <col width="7" customWidth="1" min="10" max="10"/>
    <col width="7" customWidth="1" min="11" max="11"/>
    <col width="13" customWidth="1" min="12" max="12"/>
    <col width="14" customWidth="1" min="13" max="13"/>
  </cols>
  <sheetData>
    <row r="1">
      <c r="A1" s="7" t="inlineStr">
        <is>
          <t>Orçamento — cenário Econômico  (preços consultados em 30/10/2026)</t>
        </is>
      </c>
    </row>
    <row r="3">
      <c r="A3" s="2" t="inlineStr">
        <is>
          <t>Categoria</t>
        </is>
      </c>
      <c r="B3" s="2" t="inlineStr">
        <is>
          <t>Item</t>
        </is>
      </c>
      <c r="C3" s="2" t="inlineStr">
        <is>
          <t>Produto / especificação</t>
        </is>
      </c>
      <c r="D3" s="2" t="inlineStr">
        <is>
          <t>Loja / fornecedor</t>
        </is>
      </c>
      <c r="E3" s="2" t="inlineStr">
        <is>
          <t>Link / fonte</t>
        </is>
      </c>
      <c r="F3" s="2" t="inlineStr">
        <is>
          <t>Dimensões L×P×A (cm)</t>
        </is>
      </c>
      <c r="G3" s="2" t="inlineStr">
        <is>
          <t>Material</t>
        </is>
      </c>
      <c r="H3" s="2" t="inlineStr">
        <is>
          <t>Status do preço</t>
        </is>
      </c>
      <c r="I3" s="2" t="inlineStr">
        <is>
          <t>Data</t>
        </is>
      </c>
      <c r="J3" s="2" t="inlineStr">
        <is>
          <t>Qtd</t>
        </is>
      </c>
      <c r="K3" s="2" t="inlineStr">
        <is>
          <t>Unid.</t>
        </is>
      </c>
      <c r="L3" s="2" t="inlineStr">
        <is>
          <t>Preço unit.</t>
        </is>
      </c>
      <c r="M3" s="2" t="inlineStr">
        <is>
          <t>Subtotal</t>
        </is>
      </c>
    </row>
    <row r="4">
      <c r="A4" s="8" t="inlineStr">
        <is>
          <t>Mobiliário</t>
        </is>
      </c>
      <c r="B4" s="8" t="inlineStr">
        <is>
          <t>Mesa regulável elétrica</t>
        </is>
      </c>
      <c r="C4" s="8" t="inlineStr">
        <is>
          <t>Pichau Starlift Pro 160×70 (1 motor, 80 kg, tampo MDP 15 mm)</t>
        </is>
      </c>
      <c r="D4" s="8" t="inlineStr">
        <is>
          <t>Pichau</t>
        </is>
      </c>
      <c r="E4" s="9" t="inlineStr">
        <is>
          <t>https://www.pichau.com.br/mesa-pichau-starlift-pro-com-regulagem-de-altura-160x80cm-preto</t>
        </is>
      </c>
      <c r="F4" s="8" t="inlineStr">
        <is>
          <t>160 × 70 × 73–118</t>
        </is>
      </c>
      <c r="G4" s="8" t="inlineStr">
        <is>
          <t>Aço + MDP melamina preto</t>
        </is>
      </c>
      <c r="H4" s="8" t="inlineStr">
        <is>
          <t>Pesquisado (página do produto)</t>
        </is>
      </c>
      <c r="I4" s="8" t="inlineStr">
        <is>
          <t>30/10/2026</t>
        </is>
      </c>
      <c r="J4" s="10" t="n">
        <v>1</v>
      </c>
      <c r="K4" s="8" t="inlineStr">
        <is>
          <t>un</t>
        </is>
      </c>
      <c r="L4" s="11" t="n">
        <v>823.99</v>
      </c>
      <c r="M4" s="12">
        <f>J4*L4</f>
        <v/>
      </c>
    </row>
    <row r="5">
      <c r="A5" s="8" t="inlineStr">
        <is>
          <t>Mobiliário</t>
        </is>
      </c>
      <c r="B5" s="8" t="inlineStr">
        <is>
          <t>Placa de reforço p/ braço (tampo de 15 mm)</t>
        </is>
      </c>
      <c r="C5" s="8" t="inlineStr">
        <is>
          <t>Placa de reforço de montagem de monitor (aço)</t>
        </is>
      </c>
      <c r="D5" s="8" t="inlineStr">
        <is>
          <t>Amazon</t>
        </is>
      </c>
      <c r="E5" s="9" t="inlineStr">
        <is>
          <t>https://www.amazon.com.br/dp/B0FSXG2BJ5</t>
        </is>
      </c>
      <c r="F5" s="8" t="inlineStr">
        <is>
          <t>—</t>
        </is>
      </c>
      <c r="G5" s="8" t="inlineStr">
        <is>
          <t>Aço</t>
        </is>
      </c>
      <c r="H5" s="8" t="inlineStr">
        <is>
          <t>Pesquisado (listagem da loja)</t>
        </is>
      </c>
      <c r="I5" s="8" t="inlineStr">
        <is>
          <t>30/10/2026</t>
        </is>
      </c>
      <c r="J5" s="10" t="n">
        <v>1</v>
      </c>
      <c r="K5" s="8" t="inlineStr">
        <is>
          <t>un</t>
        </is>
      </c>
      <c r="L5" s="11" t="n">
        <v>161.4</v>
      </c>
      <c r="M5" s="12">
        <f>J5*L5</f>
        <v/>
      </c>
    </row>
    <row r="6">
      <c r="A6" s="8" t="inlineStr">
        <is>
          <t>Mobiliário</t>
        </is>
      </c>
      <c r="B6" s="8" t="inlineStr">
        <is>
          <t>Cadeira ergonômica</t>
        </is>
      </c>
      <c r="C6" s="8" t="inlineStr">
        <is>
          <t>DT3 Worka Preto 14961-1</t>
        </is>
      </c>
      <c r="D6" s="8" t="inlineStr">
        <is>
          <t>Pichau</t>
        </is>
      </c>
      <c r="E6" s="9" t="inlineStr">
        <is>
          <t>https://www.pichau.com.br/cadeira-ergonomica-dt3-worka-preto-14961-1</t>
        </is>
      </c>
      <c r="F6" s="8" t="inlineStr">
        <is>
          <t>não declarada (est. 65 × 65)</t>
        </is>
      </c>
      <c r="G6" s="8" t="inlineStr">
        <is>
          <t>Tela/nylon</t>
        </is>
      </c>
      <c r="H6" s="8" t="inlineStr">
        <is>
          <t>Pesquisado (listagem da loja)</t>
        </is>
      </c>
      <c r="I6" s="8" t="inlineStr">
        <is>
          <t>30/10/2026</t>
        </is>
      </c>
      <c r="J6" s="10" t="n">
        <v>1</v>
      </c>
      <c r="K6" s="8" t="inlineStr">
        <is>
          <t>un</t>
        </is>
      </c>
      <c r="L6" s="11" t="n">
        <v>749.99</v>
      </c>
      <c r="M6" s="12">
        <f>J6*L6</f>
        <v/>
      </c>
    </row>
    <row r="7">
      <c r="A7" s="8" t="inlineStr">
        <is>
          <t>Mobiliário</t>
        </is>
      </c>
      <c r="B7" s="8" t="inlineStr">
        <is>
          <t>Cama box + colchão solteiro</t>
        </is>
      </c>
      <c r="C7" s="8" t="inlineStr">
        <is>
          <t>Cama Box Solteiro Colchão Molas Qatar</t>
        </is>
      </c>
      <c r="D7" s="8" t="inlineStr">
        <is>
          <t>Amazon</t>
        </is>
      </c>
      <c r="E7" s="9" t="inlineStr">
        <is>
          <t>https://www.amazon.com.br/dp/B0C4648NG8</t>
        </is>
      </c>
      <c r="F7" s="8" t="inlineStr">
        <is>
          <t>88 × 188 × 60</t>
        </is>
      </c>
      <c r="G7" s="8" t="inlineStr">
        <is>
          <t>Molas + base box</t>
        </is>
      </c>
      <c r="H7" s="8" t="inlineStr">
        <is>
          <t>Pesquisado (listagem da loja)</t>
        </is>
      </c>
      <c r="I7" s="8" t="inlineStr">
        <is>
          <t>30/10/2026</t>
        </is>
      </c>
      <c r="J7" s="10" t="n">
        <v>1</v>
      </c>
      <c r="K7" s="8" t="inlineStr">
        <is>
          <t>un</t>
        </is>
      </c>
      <c r="L7" s="11" t="n">
        <v>630.83</v>
      </c>
      <c r="M7" s="12">
        <f>J7*L7</f>
        <v/>
      </c>
    </row>
    <row r="8">
      <c r="A8" s="8" t="inlineStr">
        <is>
          <t>Mobiliário</t>
        </is>
      </c>
      <c r="B8" s="8" t="inlineStr">
        <is>
          <t>Braço articulado 2 monitores</t>
        </is>
      </c>
      <c r="C8" s="8" t="inlineStr">
        <is>
          <t>Braço duplo pistão a gás 13–27" (2–9 kg) — NÃO serve ultrawide 34"</t>
        </is>
      </c>
      <c r="D8" s="8" t="inlineStr">
        <is>
          <t>Amazon</t>
        </is>
      </c>
      <c r="E8" s="9" t="inlineStr">
        <is>
          <t>https://www.amazon.com.br/dp/B0H6NHQXHW</t>
        </is>
      </c>
      <c r="F8" s="8" t="inlineStr">
        <is>
          <t>—</t>
        </is>
      </c>
      <c r="G8" s="8" t="inlineStr">
        <is>
          <t>Aço/alumínio</t>
        </is>
      </c>
      <c r="H8" s="8" t="inlineStr">
        <is>
          <t>Pesquisado (listagem da loja)</t>
        </is>
      </c>
      <c r="I8" s="8" t="inlineStr">
        <is>
          <t>30/10/2026</t>
        </is>
      </c>
      <c r="J8" s="10" t="n">
        <v>1</v>
      </c>
      <c r="K8" s="8" t="inlineStr">
        <is>
          <t>un</t>
        </is>
      </c>
      <c r="L8" s="11" t="n">
        <v>157.69</v>
      </c>
      <c r="M8" s="12">
        <f>J8*L8</f>
        <v/>
      </c>
    </row>
    <row r="9">
      <c r="A9" s="13" t="inlineStr">
        <is>
          <t>Marcenaria</t>
        </is>
      </c>
      <c r="B9" s="13" t="inlineStr">
        <is>
          <t>Painel ripado Parede D (piso→teto)</t>
        </is>
      </c>
      <c r="C9" s="13" t="inlineStr">
        <is>
          <t>Ripado MDF BP amadeirado sobre fundo preto, instalado</t>
        </is>
      </c>
      <c r="D9" s="13" t="inlineStr">
        <is>
          <t>Marceneiro local</t>
        </is>
      </c>
      <c r="E9" s="13" t="inlineStr">
        <is>
          <t>Faixa R$ 250–600/m² instalado (Revista Oeste); R$ 180–750/m² (Monitor do Mercado) — https://monitordomercado.com.br/economia-2/385193-quanto-custa-instalar-painel-ripado-e-transformar-a-sala-com-um-visual-moderno-e-sofisticado/</t>
        </is>
      </c>
      <c r="F9" s="13" t="inlineStr">
        <is>
          <t>265 × 3 × 264</t>
        </is>
      </c>
      <c r="G9" s="13" t="inlineStr">
        <is>
          <t>MDF BP</t>
        </is>
      </c>
      <c r="H9" s="13" t="inlineStr">
        <is>
          <t>Estimativa</t>
        </is>
      </c>
      <c r="I9" s="13" t="inlineStr">
        <is>
          <t>30/10/2026</t>
        </is>
      </c>
      <c r="J9" s="14">
        <f>area_ripado</f>
        <v/>
      </c>
      <c r="K9" s="13" t="inlineStr">
        <is>
          <t>m²</t>
        </is>
      </c>
      <c r="L9" s="15" t="n">
        <v>250</v>
      </c>
      <c r="M9" s="16">
        <f>J9*L9</f>
        <v/>
      </c>
    </row>
    <row r="10">
      <c r="A10" s="8" t="inlineStr">
        <is>
          <t>Marcenaria</t>
        </is>
      </c>
      <c r="B10" s="8" t="inlineStr">
        <is>
          <t>Prateleiras sobre a mesa</t>
        </is>
      </c>
      <c r="C10" s="8" t="inlineStr">
        <is>
          <t>Prateleira MDF Freijó 80×25 c/ suporte invisível (kit 2)</t>
        </is>
      </c>
      <c r="D10" s="8" t="inlineStr">
        <is>
          <t>Amazon</t>
        </is>
      </c>
      <c r="E10" s="9" t="inlineStr">
        <is>
          <t>https://www.amazon.com.br/dp/B0HPF7JM1G</t>
        </is>
      </c>
      <c r="F10" s="8" t="inlineStr">
        <is>
          <t>2 × (80 × 25)</t>
        </is>
      </c>
      <c r="G10" s="8" t="inlineStr">
        <is>
          <t>MDF freijó</t>
        </is>
      </c>
      <c r="H10" s="8" t="inlineStr">
        <is>
          <t>Pesquisado (listagem da loja)</t>
        </is>
      </c>
      <c r="I10" s="8" t="inlineStr">
        <is>
          <t>30/10/2026</t>
        </is>
      </c>
      <c r="J10" s="10" t="n">
        <v>1</v>
      </c>
      <c r="K10" s="8" t="inlineStr">
        <is>
          <t>kit</t>
        </is>
      </c>
      <c r="L10" s="11" t="n">
        <v>436</v>
      </c>
      <c r="M10" s="12">
        <f>J10*L10</f>
        <v/>
      </c>
    </row>
    <row r="11">
      <c r="A11" s="13" t="inlineStr">
        <is>
          <t>Marcenaria</t>
        </is>
      </c>
      <c r="B11" s="13" t="inlineStr">
        <is>
          <t>Nichos iluminados 3× (cabeceira)</t>
        </is>
      </c>
      <c r="C11" s="13" t="inlineStr">
        <is>
          <t>MDF BP freijó 15 mm, fundo preto, rasgo p/ LED</t>
        </is>
      </c>
      <c r="D11" s="13" t="inlineStr">
        <is>
          <t>Marceneiro local</t>
        </is>
      </c>
      <c r="E11" s="13" t="inlineStr">
        <is>
          <t>Estimativa</t>
        </is>
      </c>
      <c r="F11" s="13" t="inlineStr">
        <is>
          <t>3 × (24 × 26 × 16)</t>
        </is>
      </c>
      <c r="G11" s="13" t="inlineStr">
        <is>
          <t>MDF BP freijó</t>
        </is>
      </c>
      <c r="H11" s="13" t="inlineStr">
        <is>
          <t>Estimativa</t>
        </is>
      </c>
      <c r="I11" s="13" t="inlineStr">
        <is>
          <t>30/10/2026</t>
        </is>
      </c>
      <c r="J11" s="14" t="n">
        <v>1</v>
      </c>
      <c r="K11" s="13" t="inlineStr">
        <is>
          <t>vb</t>
        </is>
      </c>
      <c r="L11" s="15" t="n">
        <v>300</v>
      </c>
      <c r="M11" s="16">
        <f>J11*L11</f>
        <v/>
      </c>
    </row>
    <row r="12">
      <c r="A12" s="8" t="inlineStr">
        <is>
          <t>Iluminação</t>
        </is>
      </c>
      <c r="B12" s="8" t="inlineStr">
        <is>
          <t>Fita LED COB 3000 K</t>
        </is>
      </c>
      <c r="C12" s="8" t="inlineStr">
        <is>
          <t>Fita LED COB 24V 15W/m 480 LEDs 3000K 5 m</t>
        </is>
      </c>
      <c r="D12" s="8" t="inlineStr">
        <is>
          <t>Amazon</t>
        </is>
      </c>
      <c r="E12" s="9" t="inlineStr">
        <is>
          <t>https://www.amazon.com.br/dp/B0GBY67PN3</t>
        </is>
      </c>
      <c r="F12" s="8" t="inlineStr">
        <is>
          <t>5 m</t>
        </is>
      </c>
      <c r="G12" s="8" t="inlineStr">
        <is>
          <t>—</t>
        </is>
      </c>
      <c r="H12" s="8" t="inlineStr">
        <is>
          <t>Pesquisado (listagem da loja)</t>
        </is>
      </c>
      <c r="I12" s="8" t="inlineStr">
        <is>
          <t>30/10/2026</t>
        </is>
      </c>
      <c r="J12" s="10">
        <f>rolos_led</f>
        <v/>
      </c>
      <c r="K12" s="8" t="inlineStr">
        <is>
          <t>rolo</t>
        </is>
      </c>
      <c r="L12" s="11" t="n">
        <v>74.95</v>
      </c>
      <c r="M12" s="12">
        <f>J12*L12</f>
        <v/>
      </c>
    </row>
    <row r="13">
      <c r="A13" s="8" t="inlineStr">
        <is>
          <t>Iluminação</t>
        </is>
      </c>
      <c r="B13" s="8" t="inlineStr">
        <is>
          <t>Fonte 24 V</t>
        </is>
      </c>
      <c r="C13" s="8" t="inlineStr">
        <is>
          <t>Fonte chaveada slim 24V 5A 120W bivolt</t>
        </is>
      </c>
      <c r="D13" s="8" t="inlineStr">
        <is>
          <t>Amazon</t>
        </is>
      </c>
      <c r="E13" s="9" t="inlineStr">
        <is>
          <t>https://www.amazon.com.br/dp/B0H7CQ2BY2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Pesquisado (listagem da loja)</t>
        </is>
      </c>
      <c r="I13" s="8" t="inlineStr">
        <is>
          <t>30/10/2026</t>
        </is>
      </c>
      <c r="J13" s="10" t="n">
        <v>1</v>
      </c>
      <c r="K13" s="8" t="inlineStr">
        <is>
          <t>un</t>
        </is>
      </c>
      <c r="L13" s="11" t="n">
        <v>61.99</v>
      </c>
      <c r="M13" s="12">
        <f>J13*L13</f>
        <v/>
      </c>
    </row>
    <row r="14">
      <c r="A14" s="8" t="inlineStr">
        <is>
          <t>Iluminação</t>
        </is>
      </c>
      <c r="B14" s="8" t="inlineStr">
        <is>
          <t>Perfil de alumínio p/ LED</t>
        </is>
      </c>
      <c r="C14" s="8" t="inlineStr">
        <is>
          <t>Perfil LED embutir 24×7 mm slim 2 m preto</t>
        </is>
      </c>
      <c r="D14" s="8" t="inlineStr">
        <is>
          <t>Amazon</t>
        </is>
      </c>
      <c r="E14" s="9" t="inlineStr">
        <is>
          <t>https://www.amazon.com.br/dp/B0F1ZBZZTP</t>
        </is>
      </c>
      <c r="F14" s="8" t="inlineStr">
        <is>
          <t>200 cm</t>
        </is>
      </c>
      <c r="G14" s="8" t="inlineStr">
        <is>
          <t>Alumínio</t>
        </is>
      </c>
      <c r="H14" s="8" t="inlineStr">
        <is>
          <t>Pesquisado (listagem da loja)</t>
        </is>
      </c>
      <c r="I14" s="8" t="inlineStr">
        <is>
          <t>30/10/2026</t>
        </is>
      </c>
      <c r="J14" s="10">
        <f>barras_perfil</f>
        <v/>
      </c>
      <c r="K14" s="8" t="inlineStr">
        <is>
          <t>barra</t>
        </is>
      </c>
      <c r="L14" s="11" t="n">
        <v>29.9</v>
      </c>
      <c r="M14" s="12">
        <f>J14*L14</f>
        <v/>
      </c>
    </row>
    <row r="15">
      <c r="A15" s="8" t="inlineStr">
        <is>
          <t>Iluminação</t>
        </is>
      </c>
      <c r="B15" s="8" t="inlineStr">
        <is>
          <t>Dimmer da fita</t>
        </is>
      </c>
      <c r="C15" s="8" t="inlineStr">
        <is>
          <t>Controle remoto IR c/ dimmer 12/24V</t>
        </is>
      </c>
      <c r="D15" s="8" t="inlineStr">
        <is>
          <t>Amazon</t>
        </is>
      </c>
      <c r="E15" s="9" t="inlineStr">
        <is>
          <t>https://www.amazon.com.br/dp/B0FJH6572V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Pesquisado (listagem da loja)</t>
        </is>
      </c>
      <c r="I15" s="8" t="inlineStr">
        <is>
          <t>30/10/2026</t>
        </is>
      </c>
      <c r="J15" s="10" t="n">
        <v>1</v>
      </c>
      <c r="K15" s="8" t="inlineStr">
        <is>
          <t>un</t>
        </is>
      </c>
      <c r="L15" s="11" t="n">
        <v>31.5</v>
      </c>
      <c r="M15" s="12">
        <f>J15*L15</f>
        <v/>
      </c>
    </row>
    <row r="16">
      <c r="A16" s="8" t="inlineStr">
        <is>
          <t>Iluminação</t>
        </is>
      </c>
      <c r="B16" s="8" t="inlineStr">
        <is>
          <t>Barra de luz p/ monitor</t>
        </is>
      </c>
      <c r="C16" s="8" t="inlineStr">
        <is>
          <t>Luminária p/ monitor 3 temperaturas, toque</t>
        </is>
      </c>
      <c r="D16" s="8" t="inlineStr">
        <is>
          <t>Amazon</t>
        </is>
      </c>
      <c r="E16" s="9" t="inlineStr">
        <is>
          <t>https://www.amazon.com.br/dp/B0GXZ9CN8M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Pesquisado (listagem da loja)</t>
        </is>
      </c>
      <c r="I16" s="8" t="inlineStr">
        <is>
          <t>30/10/2026</t>
        </is>
      </c>
      <c r="J16" s="10" t="n">
        <v>1</v>
      </c>
      <c r="K16" s="8" t="inlineStr">
        <is>
          <t>un</t>
        </is>
      </c>
      <c r="L16" s="11" t="n">
        <v>56.99</v>
      </c>
      <c r="M16" s="12">
        <f>J16*L16</f>
        <v/>
      </c>
    </row>
    <row r="17">
      <c r="A17" s="8" t="inlineStr">
        <is>
          <t>Iluminação</t>
        </is>
      </c>
      <c r="B17" s="8" t="inlineStr">
        <is>
          <t>Arandela da cama</t>
        </is>
      </c>
      <c r="C17" s="8" t="inlineStr">
        <is>
          <t>Arandela tubo articulada preta c/ interruptor (conferir se tem plugue)</t>
        </is>
      </c>
      <c r="D17" s="8" t="inlineStr">
        <is>
          <t>Amazon</t>
        </is>
      </c>
      <c r="E17" s="9" t="inlineStr">
        <is>
          <t>https://www.amazon.com.br/dp/B0DND64VLW</t>
        </is>
      </c>
      <c r="F17" s="8" t="inlineStr">
        <is>
          <t>—</t>
        </is>
      </c>
      <c r="G17" s="8" t="inlineStr">
        <is>
          <t>Metal</t>
        </is>
      </c>
      <c r="H17" s="8" t="inlineStr">
        <is>
          <t>Pesquisado (listagem da loja)</t>
        </is>
      </c>
      <c r="I17" s="8" t="inlineStr">
        <is>
          <t>30/10/2026</t>
        </is>
      </c>
      <c r="J17" s="10" t="n">
        <v>1</v>
      </c>
      <c r="K17" s="8" t="inlineStr">
        <is>
          <t>un</t>
        </is>
      </c>
      <c r="L17" s="11" t="n">
        <v>74.95</v>
      </c>
      <c r="M17" s="12">
        <f>J17*L17</f>
        <v/>
      </c>
    </row>
    <row r="18">
      <c r="A18" s="8" t="inlineStr">
        <is>
          <t>Iluminação</t>
        </is>
      </c>
      <c r="B18" s="8" t="inlineStr">
        <is>
          <t>Lâmpadas 3000 K (ventilador/teto)</t>
        </is>
      </c>
      <c r="C18" s="8" t="inlineStr">
        <is>
          <t>LEDVANCE OSRAM CLA60 9W 3000K E27 (kit 10)</t>
        </is>
      </c>
      <c r="D18" s="8" t="inlineStr">
        <is>
          <t>Amazon</t>
        </is>
      </c>
      <c r="E18" s="9" t="inlineStr">
        <is>
          <t>https://www.amazon.com.br/dp/B0HNY3SPM6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Pesquisado (listagem da loja)</t>
        </is>
      </c>
      <c r="I18" s="8" t="inlineStr">
        <is>
          <t>30/10/2026</t>
        </is>
      </c>
      <c r="J18" s="10" t="n">
        <v>1</v>
      </c>
      <c r="K18" s="8" t="inlineStr">
        <is>
          <t>kit</t>
        </is>
      </c>
      <c r="L18" s="11" t="n">
        <v>69.90000000000001</v>
      </c>
      <c r="M18" s="12">
        <f>J18*L18</f>
        <v/>
      </c>
    </row>
    <row r="19">
      <c r="A19" s="8" t="inlineStr">
        <is>
          <t>Pintura</t>
        </is>
      </c>
      <c r="B19" s="8" t="inlineStr">
        <is>
          <t>Tinta paredes (grafite)</t>
        </is>
      </c>
      <c r="C19" s="8" t="inlineStr">
        <is>
          <t>Coral Coralar acrílica 3,6 L — preço da base; cor grafite preparada em loja (conferir)</t>
        </is>
      </c>
      <c r="D19" s="8" t="inlineStr">
        <is>
          <t>Amazon</t>
        </is>
      </c>
      <c r="E19" s="9" t="inlineStr">
        <is>
          <t>https://www.amazon.com.br/dp/B0G62TWLCN</t>
        </is>
      </c>
      <c r="F19" s="8" t="inlineStr">
        <is>
          <t>3,6 L</t>
        </is>
      </c>
      <c r="G19" s="8" t="inlineStr">
        <is>
          <t>Acrílica fosca</t>
        </is>
      </c>
      <c r="H19" s="8" t="inlineStr">
        <is>
          <t>Pesquisado (listagem da loja)</t>
        </is>
      </c>
      <c r="I19" s="8" t="inlineStr">
        <is>
          <t>30/10/2026</t>
        </is>
      </c>
      <c r="J19" s="10">
        <f>galoes_parede</f>
        <v/>
      </c>
      <c r="K19" s="8" t="inlineStr">
        <is>
          <t>galão</t>
        </is>
      </c>
      <c r="L19" s="11" t="n">
        <v>61.74</v>
      </c>
      <c r="M19" s="12">
        <f>J19*L19</f>
        <v/>
      </c>
    </row>
    <row r="20">
      <c r="A20" s="8" t="inlineStr">
        <is>
          <t>Pintura</t>
        </is>
      </c>
      <c r="B20" s="8" t="inlineStr">
        <is>
          <t>Tinta teto (branco)</t>
        </is>
      </c>
      <c r="C20" s="8" t="inlineStr">
        <is>
          <t>Coral Coralar acrílica Branco 3,6 L</t>
        </is>
      </c>
      <c r="D20" s="8" t="inlineStr">
        <is>
          <t>Amazon</t>
        </is>
      </c>
      <c r="E20" s="9" t="inlineStr">
        <is>
          <t>https://www.amazon.com.br/dp/B0G62TCBGG</t>
        </is>
      </c>
      <c r="F20" s="8" t="inlineStr">
        <is>
          <t>3,6 L</t>
        </is>
      </c>
      <c r="G20" s="8" t="inlineStr">
        <is>
          <t>Acrílica</t>
        </is>
      </c>
      <c r="H20" s="8" t="inlineStr">
        <is>
          <t>Pesquisado (listagem da loja)</t>
        </is>
      </c>
      <c r="I20" s="8" t="inlineStr">
        <is>
          <t>30/10/2026</t>
        </is>
      </c>
      <c r="J20" s="10">
        <f>galoes_teto</f>
        <v/>
      </c>
      <c r="K20" s="8" t="inlineStr">
        <is>
          <t>galão</t>
        </is>
      </c>
      <c r="L20" s="11" t="n">
        <v>61.74</v>
      </c>
      <c r="M20" s="12">
        <f>J20*L20</f>
        <v/>
      </c>
    </row>
    <row r="21">
      <c r="A21" s="8" t="inlineStr">
        <is>
          <t>Pintura</t>
        </is>
      </c>
      <c r="B21" s="8" t="inlineStr">
        <is>
          <t>Kit pintura</t>
        </is>
      </c>
      <c r="C21" s="8" t="inlineStr">
        <is>
          <t>Kit anti-gotas rolos 23/9 cm, bandeja, suporte e trincha</t>
        </is>
      </c>
      <c r="D21" s="8" t="inlineStr">
        <is>
          <t>Amazon</t>
        </is>
      </c>
      <c r="E21" s="9" t="inlineStr">
        <is>
          <t>https://www.amazon.com.br/dp/B0H6CMVSRL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Pesquisado (listagem da loja)</t>
        </is>
      </c>
      <c r="I21" s="8" t="inlineStr">
        <is>
          <t>30/10/2026</t>
        </is>
      </c>
      <c r="J21" s="10" t="n">
        <v>1</v>
      </c>
      <c r="K21" s="8" t="inlineStr">
        <is>
          <t>kit</t>
        </is>
      </c>
      <c r="L21" s="11" t="n">
        <v>31.99</v>
      </c>
      <c r="M21" s="12">
        <f>J21*L21</f>
        <v/>
      </c>
    </row>
    <row r="22">
      <c r="A22" s="8" t="inlineStr">
        <is>
          <t>Pintura</t>
        </is>
      </c>
      <c r="B22" s="8" t="inlineStr">
        <is>
          <t>Fita crepe</t>
        </is>
      </c>
      <c r="C22" s="8" t="inlineStr">
        <is>
          <t>Kit 2 fitas crepe 48 mm × 50 m</t>
        </is>
      </c>
      <c r="D22" s="8" t="inlineStr">
        <is>
          <t>Amazon</t>
        </is>
      </c>
      <c r="E22" s="9" t="inlineStr">
        <is>
          <t>https://www.amazon.com.br/dp/B0H8BCLC4J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Pesquisado (listagem da loja)</t>
        </is>
      </c>
      <c r="I22" s="8" t="inlineStr">
        <is>
          <t>30/10/2026</t>
        </is>
      </c>
      <c r="J22" s="10" t="n">
        <v>1</v>
      </c>
      <c r="K22" s="8" t="inlineStr">
        <is>
          <t>kit</t>
        </is>
      </c>
      <c r="L22" s="11" t="n">
        <v>29.8</v>
      </c>
      <c r="M22" s="12">
        <f>J22*L22</f>
        <v/>
      </c>
    </row>
    <row r="23">
      <c r="A23" s="8" t="inlineStr">
        <is>
          <t>Pintura</t>
        </is>
      </c>
      <c r="B23" s="8" t="inlineStr">
        <is>
          <t>Proteção de piso/móveis</t>
        </is>
      </c>
      <c r="C23" s="8" t="inlineStr">
        <is>
          <t>Lona protetora c/ fita 1,5 × 10 m</t>
        </is>
      </c>
      <c r="D23" s="8" t="inlineStr">
        <is>
          <t>Amazon</t>
        </is>
      </c>
      <c r="E23" s="9" t="inlineStr">
        <is>
          <t>https://www.amazon.com.br/dp/B0GVPX4YVY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Pesquisado (listagem da loja)</t>
        </is>
      </c>
      <c r="I23" s="8" t="inlineStr">
        <is>
          <t>30/10/2026</t>
        </is>
      </c>
      <c r="J23" s="10" t="n">
        <v>1</v>
      </c>
      <c r="K23" s="8" t="inlineStr">
        <is>
          <t>un</t>
        </is>
      </c>
      <c r="L23" s="11" t="n">
        <v>15.9</v>
      </c>
      <c r="M23" s="12">
        <f>J23*L23</f>
        <v/>
      </c>
    </row>
    <row r="24">
      <c r="A24" s="13" t="inlineStr">
        <is>
          <t>Pintura</t>
        </is>
      </c>
      <c r="B24" s="13" t="inlineStr">
        <is>
          <t>Massa/reparos pontuais</t>
        </is>
      </c>
      <c r="C24" s="13" t="inlineStr">
        <is>
          <t>Massa corrida + lixa (reparos)</t>
        </is>
      </c>
      <c r="D24" s="13" t="inlineStr">
        <is>
          <t>—</t>
        </is>
      </c>
      <c r="E24" s="13" t="inlineStr">
        <is>
          <t>Estimativa</t>
        </is>
      </c>
      <c r="F24" s="13" t="inlineStr">
        <is>
          <t>—</t>
        </is>
      </c>
      <c r="G24" s="13" t="inlineStr">
        <is>
          <t>—</t>
        </is>
      </c>
      <c r="H24" s="13" t="inlineStr">
        <is>
          <t>Estimativa</t>
        </is>
      </c>
      <c r="I24" s="13" t="inlineStr">
        <is>
          <t>30/10/2026</t>
        </is>
      </c>
      <c r="J24" s="14" t="n">
        <v>1</v>
      </c>
      <c r="K24" s="13" t="inlineStr">
        <is>
          <t>vb</t>
        </is>
      </c>
      <c r="L24" s="15" t="n">
        <v>60</v>
      </c>
      <c r="M24" s="16">
        <f>J24*L24</f>
        <v/>
      </c>
    </row>
    <row r="25">
      <c r="A25" s="8" t="inlineStr">
        <is>
          <t>Complementares</t>
        </is>
      </c>
      <c r="B25" s="8" t="inlineStr">
        <is>
          <t>Tapete</t>
        </is>
      </c>
      <c r="C25" s="8" t="inlineStr">
        <is>
          <t>Tapete pelo baixo c/ relevo cinza escuro 2,00 × 1,40</t>
        </is>
      </c>
      <c r="D25" s="8" t="inlineStr">
        <is>
          <t>Amazon</t>
        </is>
      </c>
      <c r="E25" s="9" t="inlineStr">
        <is>
          <t>https://www.amazon.com.br/dp/B0GXCDQG6W</t>
        </is>
      </c>
      <c r="F25" s="8" t="inlineStr">
        <is>
          <t>140 × 200</t>
        </is>
      </c>
      <c r="G25" s="8" t="inlineStr">
        <is>
          <t>Sintético</t>
        </is>
      </c>
      <c r="H25" s="8" t="inlineStr">
        <is>
          <t>Pesquisado (listagem da loja)</t>
        </is>
      </c>
      <c r="I25" s="8" t="inlineStr">
        <is>
          <t>30/10/2026</t>
        </is>
      </c>
      <c r="J25" s="10" t="n">
        <v>1</v>
      </c>
      <c r="K25" s="8" t="inlineStr">
        <is>
          <t>un</t>
        </is>
      </c>
      <c r="L25" s="11" t="n">
        <v>142.4</v>
      </c>
      <c r="M25" s="12">
        <f>J25*L25</f>
        <v/>
      </c>
    </row>
    <row r="26">
      <c r="A26" s="8" t="inlineStr">
        <is>
          <t>Complementares</t>
        </is>
      </c>
      <c r="B26" s="8" t="inlineStr">
        <is>
          <t>Filtro de linha c/ DPS</t>
        </is>
      </c>
      <c r="C26" s="8" t="inlineStr">
        <is>
          <t>iCLAMPER Energia 5 tomadas</t>
        </is>
      </c>
      <c r="D26" s="8" t="inlineStr">
        <is>
          <t>Amazon</t>
        </is>
      </c>
      <c r="E26" s="9" t="inlineStr">
        <is>
          <t>https://www.amazon.com.br/dp/B0D8V17JSG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Pesquisado (listagem da loja)</t>
        </is>
      </c>
      <c r="I26" s="8" t="inlineStr">
        <is>
          <t>30/10/2026</t>
        </is>
      </c>
      <c r="J26" s="10" t="n">
        <v>1</v>
      </c>
      <c r="K26" s="8" t="inlineStr">
        <is>
          <t>un</t>
        </is>
      </c>
      <c r="L26" s="11" t="n">
        <v>71.98</v>
      </c>
      <c r="M26" s="12">
        <f>J26*L26</f>
        <v/>
      </c>
    </row>
    <row r="27">
      <c r="A27" s="8" t="inlineStr">
        <is>
          <t>Complementares</t>
        </is>
      </c>
      <c r="B27" s="8" t="inlineStr">
        <is>
          <t>Prolongador da tomada (ripado)</t>
        </is>
      </c>
      <c r="C27" s="8" t="inlineStr">
        <is>
          <t>Margirius prolongador caixa 4×2</t>
        </is>
      </c>
      <c r="D27" s="8" t="inlineStr">
        <is>
          <t>Amazon</t>
        </is>
      </c>
      <c r="E27" s="9" t="inlineStr">
        <is>
          <t>https://www.amazon.com.br/dp/B089M44PPG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Pesquisado (listagem da loja)</t>
        </is>
      </c>
      <c r="I27" s="8" t="inlineStr">
        <is>
          <t>30/10/2026</t>
        </is>
      </c>
      <c r="J27" s="10" t="n">
        <v>1</v>
      </c>
      <c r="K27" s="8" t="inlineStr">
        <is>
          <t>un</t>
        </is>
      </c>
      <c r="L27" s="11" t="n">
        <v>23.27</v>
      </c>
      <c r="M27" s="12">
        <f>J27*L27</f>
        <v/>
      </c>
    </row>
    <row r="28">
      <c r="A28" s="8" t="inlineStr">
        <is>
          <t>Complementares</t>
        </is>
      </c>
      <c r="B28" s="8" t="inlineStr">
        <is>
          <t>Organização de cabos</t>
        </is>
      </c>
      <c r="C28" s="8" t="inlineStr">
        <is>
          <t>Organizador de fios 19 mm × 1,5 m</t>
        </is>
      </c>
      <c r="D28" s="8" t="inlineStr">
        <is>
          <t>Amazon</t>
        </is>
      </c>
      <c r="E28" s="9" t="inlineStr">
        <is>
          <t>https://www.amazon.com.br/dp/B08R58CWKD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Pesquisado (listagem da loja)</t>
        </is>
      </c>
      <c r="I28" s="8" t="inlineStr">
        <is>
          <t>30/10/2026</t>
        </is>
      </c>
      <c r="J28" s="10" t="n">
        <v>1</v>
      </c>
      <c r="K28" s="8" t="inlineStr">
        <is>
          <t>un</t>
        </is>
      </c>
      <c r="L28" s="11" t="n">
        <v>16.17</v>
      </c>
      <c r="M28" s="12">
        <f>J28*L28</f>
        <v/>
      </c>
    </row>
    <row r="29">
      <c r="A29" s="8" t="inlineStr">
        <is>
          <t>Complementares</t>
        </is>
      </c>
      <c r="B29" s="8" t="inlineStr">
        <is>
          <t>Abraçadeiras</t>
        </is>
      </c>
      <c r="C29" s="8" t="inlineStr">
        <is>
          <t>Abraçadeira nylon preta 2,5 × 100 mm (100 un)</t>
        </is>
      </c>
      <c r="D29" s="8" t="inlineStr">
        <is>
          <t>Amazon</t>
        </is>
      </c>
      <c r="E29" s="9" t="inlineStr">
        <is>
          <t>https://www.amazon.com.br/dp/B0GWNHFSCY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Pesquisado (listagem da loja)</t>
        </is>
      </c>
      <c r="I29" s="8" t="inlineStr">
        <is>
          <t>30/10/2026</t>
        </is>
      </c>
      <c r="J29" s="10" t="n">
        <v>1</v>
      </c>
      <c r="K29" s="8" t="inlineStr">
        <is>
          <t>pct</t>
        </is>
      </c>
      <c r="L29" s="11" t="n">
        <v>10.2</v>
      </c>
      <c r="M29" s="12">
        <f>J29*L29</f>
        <v/>
      </c>
    </row>
    <row r="30">
      <c r="A30" s="8" t="inlineStr">
        <is>
          <t>Complementares</t>
        </is>
      </c>
      <c r="B30" s="8" t="inlineStr">
        <is>
          <t>Suporte de notebook</t>
        </is>
      </c>
      <c r="C30" s="8" t="inlineStr">
        <is>
          <t>Suporte dobrável alumínio c/ regulagem</t>
        </is>
      </c>
      <c r="D30" s="8" t="inlineStr">
        <is>
          <t>Amazon</t>
        </is>
      </c>
      <c r="E30" s="9" t="inlineStr">
        <is>
          <t>https://www.amazon.com.br/dp/B0H13G1VTW</t>
        </is>
      </c>
      <c r="F30" s="8" t="inlineStr">
        <is>
          <t>—</t>
        </is>
      </c>
      <c r="G30" s="8" t="inlineStr">
        <is>
          <t>Alumínio</t>
        </is>
      </c>
      <c r="H30" s="8" t="inlineStr">
        <is>
          <t>Pesquisado (listagem da loja)</t>
        </is>
      </c>
      <c r="I30" s="8" t="inlineStr">
        <is>
          <t>30/10/2026</t>
        </is>
      </c>
      <c r="J30" s="10" t="n">
        <v>1</v>
      </c>
      <c r="K30" s="8" t="inlineStr">
        <is>
          <t>un</t>
        </is>
      </c>
      <c r="L30" s="11" t="n">
        <v>65.78</v>
      </c>
      <c r="M30" s="12">
        <f>J30*L30</f>
        <v/>
      </c>
    </row>
    <row r="31">
      <c r="A31" s="13" t="inlineStr">
        <is>
          <t>Decoração (opcional)</t>
        </is>
      </c>
      <c r="B31" s="13" t="inlineStr">
        <is>
          <t>Luminária de mesa articulada</t>
        </is>
      </c>
      <c r="C31" s="13" t="inlineStr">
        <is>
          <t>Luminária articulada preta, E27, lâmpada 2700 K</t>
        </is>
      </c>
      <c r="D31" s="13" t="inlineStr">
        <is>
          <t>A pesquisar</t>
        </is>
      </c>
      <c r="E31" s="13" t="inlineStr">
        <is>
          <t>Estimativa (preço não pesquisado)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Estimativa</t>
        </is>
      </c>
      <c r="I31" s="13" t="inlineStr">
        <is>
          <t>30/10/2026</t>
        </is>
      </c>
      <c r="J31" s="14" t="n">
        <v>1</v>
      </c>
      <c r="K31" s="13" t="inlineStr">
        <is>
          <t>un</t>
        </is>
      </c>
      <c r="L31" s="15" t="n">
        <v>84</v>
      </c>
      <c r="M31" s="16">
        <f>J31*L31</f>
        <v/>
      </c>
    </row>
    <row r="32">
      <c r="A32" s="13" t="inlineStr">
        <is>
          <t>Decoração (opcional)</t>
        </is>
      </c>
      <c r="B32" s="13" t="inlineStr">
        <is>
          <t>Suporte de headphone</t>
        </is>
      </c>
      <c r="C32" s="13" t="inlineStr">
        <is>
          <t>Suporte de mesa em metal preto</t>
        </is>
      </c>
      <c r="D32" s="13" t="inlineStr">
        <is>
          <t>A pesquisar</t>
        </is>
      </c>
      <c r="E32" s="13" t="inlineStr">
        <is>
          <t>Estimativa (preço não pesquisado)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Estimativa</t>
        </is>
      </c>
      <c r="I32" s="13" t="inlineStr">
        <is>
          <t>30/10/2026</t>
        </is>
      </c>
      <c r="J32" s="14" t="n">
        <v>1</v>
      </c>
      <c r="K32" s="13" t="inlineStr">
        <is>
          <t>un</t>
        </is>
      </c>
      <c r="L32" s="15" t="n">
        <v>42</v>
      </c>
      <c r="M32" s="16">
        <f>J32*L32</f>
        <v/>
      </c>
    </row>
    <row r="33">
      <c r="A33" s="13" t="inlineStr">
        <is>
          <t>Decoração (opcional)</t>
        </is>
      </c>
      <c r="B33" s="13" t="inlineStr">
        <is>
          <t>Quadros P&amp;B (3 na parede + 2 na prateleira)</t>
        </is>
      </c>
      <c r="C33" s="13" t="inlineStr">
        <is>
          <t>Impressões P&amp;B 40×55, 2× 36×26, 20×25, 15×20 c/ moldura preta e passe-partout</t>
        </is>
      </c>
      <c r="D33" s="13" t="inlineStr">
        <is>
          <t>A pesquisar</t>
        </is>
      </c>
      <c r="E33" s="13" t="inlineStr">
        <is>
          <t>Estimativa (preço não pesquisado)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Estimativa</t>
        </is>
      </c>
      <c r="I33" s="13" t="inlineStr">
        <is>
          <t>30/10/2026</t>
        </is>
      </c>
      <c r="J33" s="14" t="n">
        <v>1</v>
      </c>
      <c r="K33" s="13" t="inlineStr">
        <is>
          <t>un</t>
        </is>
      </c>
      <c r="L33" s="15" t="n">
        <v>245</v>
      </c>
      <c r="M33" s="16">
        <f>J33*L33</f>
        <v/>
      </c>
    </row>
    <row r="34">
      <c r="A34" s="13" t="inlineStr">
        <is>
          <t>Decoração (opcional)</t>
        </is>
      </c>
      <c r="B34" s="13" t="inlineStr">
        <is>
          <t>Planta pendente</t>
        </is>
      </c>
      <c r="C34" s="13" t="inlineStr">
        <is>
          <t>Vaso cerâmica preta Ø18 + suporte de corda + samambaia + gancho de teto</t>
        </is>
      </c>
      <c r="D34" s="13" t="inlineStr">
        <is>
          <t>A pesquisar</t>
        </is>
      </c>
      <c r="E34" s="13" t="inlineStr">
        <is>
          <t>Estimativa (preço não pesquisado)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Estimativa</t>
        </is>
      </c>
      <c r="I34" s="13" t="inlineStr">
        <is>
          <t>30/10/2026</t>
        </is>
      </c>
      <c r="J34" s="14" t="n">
        <v>1</v>
      </c>
      <c r="K34" s="13" t="inlineStr">
        <is>
          <t>un</t>
        </is>
      </c>
      <c r="L34" s="15" t="n">
        <v>84</v>
      </c>
      <c r="M34" s="16">
        <f>J34*L34</f>
        <v/>
      </c>
    </row>
    <row r="35">
      <c r="A35" s="13" t="inlineStr">
        <is>
          <t>Decoração (opcional)</t>
        </is>
      </c>
      <c r="B35" s="13" t="inlineStr">
        <is>
          <t>Objetos dos nichos</t>
        </is>
      </c>
      <c r="C35" s="13" t="inlineStr">
        <is>
          <t>Vaso cerâmica + elefante em madeira + escultura de baleia (~15 cm)</t>
        </is>
      </c>
      <c r="D35" s="13" t="inlineStr">
        <is>
          <t>A pesquisar</t>
        </is>
      </c>
      <c r="E35" s="13" t="inlineStr">
        <is>
          <t>Estimativa (preço não pesquisado)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Estimativa</t>
        </is>
      </c>
      <c r="I35" s="13" t="inlineStr">
        <is>
          <t>30/10/2026</t>
        </is>
      </c>
      <c r="J35" s="14" t="n">
        <v>1</v>
      </c>
      <c r="K35" s="13" t="inlineStr">
        <is>
          <t>un</t>
        </is>
      </c>
      <c r="L35" s="15" t="n">
        <v>140</v>
      </c>
      <c r="M35" s="16">
        <f>J35*L35</f>
        <v/>
      </c>
    </row>
    <row r="36">
      <c r="A36" s="13" t="inlineStr">
        <is>
          <t>Decoração (opcional)</t>
        </is>
      </c>
      <c r="B36" s="13" t="inlineStr">
        <is>
          <t>Plantas da prateleira</t>
        </is>
      </c>
      <c r="C36" s="13" t="inlineStr">
        <is>
          <t>Vaso médio c/ planta + suculenta</t>
        </is>
      </c>
      <c r="D36" s="13" t="inlineStr">
        <is>
          <t>A pesquisar</t>
        </is>
      </c>
      <c r="E36" s="13" t="inlineStr">
        <is>
          <t>Estimativa (preço não pesquisado)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Estimativa</t>
        </is>
      </c>
      <c r="I36" s="13" t="inlineStr">
        <is>
          <t>30/10/2026</t>
        </is>
      </c>
      <c r="J36" s="14" t="n">
        <v>1</v>
      </c>
      <c r="K36" s="13" t="inlineStr">
        <is>
          <t>un</t>
        </is>
      </c>
      <c r="L36" s="15" t="n">
        <v>70</v>
      </c>
      <c r="M36" s="16">
        <f>J36*L36</f>
        <v/>
      </c>
    </row>
    <row r="37">
      <c r="A37" s="13" t="inlineStr">
        <is>
          <t>Decoração (opcional)</t>
        </is>
      </c>
      <c r="B37" s="13" t="inlineStr">
        <is>
          <t>Relógio LED de prateleira</t>
        </is>
      </c>
      <c r="C37" s="13" t="inlineStr">
        <is>
          <t>Relógio digital LED 12 cm</t>
        </is>
      </c>
      <c r="D37" s="13" t="inlineStr">
        <is>
          <t>A pesquisar</t>
        </is>
      </c>
      <c r="E37" s="13" t="inlineStr">
        <is>
          <t>Estimativa (preço não pesquisado)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Estimativa</t>
        </is>
      </c>
      <c r="I37" s="13" t="inlineStr">
        <is>
          <t>30/10/2026</t>
        </is>
      </c>
      <c r="J37" s="14" t="n">
        <v>1</v>
      </c>
      <c r="K37" s="13" t="inlineStr">
        <is>
          <t>un</t>
        </is>
      </c>
      <c r="L37" s="15" t="n">
        <v>49</v>
      </c>
      <c r="M37" s="16">
        <f>J37*L37</f>
        <v/>
      </c>
    </row>
    <row r="38">
      <c r="A38" s="13" t="inlineStr">
        <is>
          <t>Decoração (opcional)</t>
        </is>
      </c>
      <c r="B38" s="13" t="inlineStr">
        <is>
          <t>Caneca e acessórios de mesa</t>
        </is>
      </c>
      <c r="C38" s="13" t="inlineStr">
        <is>
          <t>Caneca de cerâmica + porta-lápis</t>
        </is>
      </c>
      <c r="D38" s="13" t="inlineStr">
        <is>
          <t>A pesquisar</t>
        </is>
      </c>
      <c r="E38" s="13" t="inlineStr">
        <is>
          <t>Estimativa (preço não pesquisado)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Estimativa</t>
        </is>
      </c>
      <c r="I38" s="13" t="inlineStr">
        <is>
          <t>30/10/2026</t>
        </is>
      </c>
      <c r="J38" s="14" t="n">
        <v>1</v>
      </c>
      <c r="K38" s="13" t="inlineStr">
        <is>
          <t>un</t>
        </is>
      </c>
      <c r="L38" s="15" t="n">
        <v>42</v>
      </c>
      <c r="M38" s="16">
        <f>J38*L38</f>
        <v/>
      </c>
    </row>
    <row r="39">
      <c r="A39" s="13" t="inlineStr">
        <is>
          <t>Serviços</t>
        </is>
      </c>
      <c r="B39" s="13" t="inlineStr">
        <is>
          <t>Mão de obra de pintura</t>
        </is>
      </c>
      <c r="C39" s="13" t="inlineStr">
        <is>
          <t>Pintor (paredes + teto), sem preparo pesado</t>
        </is>
      </c>
      <c r="D39" s="13" t="inlineStr">
        <is>
          <t>Profissional local</t>
        </is>
      </c>
      <c r="E39" s="13" t="inlineStr">
        <is>
          <t>Faixa R$ 15–35/m² simples; R$ 35–60/m² com preparo (Lar Pontual) — https://larpontual.com.br/portal/preco-de-pintor-por-m2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Estimativa</t>
        </is>
      </c>
      <c r="I39" s="13" t="inlineStr">
        <is>
          <t>30/10/2026</t>
        </is>
      </c>
      <c r="J39" s="14">
        <f>area_pintura_total</f>
        <v/>
      </c>
      <c r="K39" s="13" t="inlineStr">
        <is>
          <t>m²</t>
        </is>
      </c>
      <c r="L39" s="15" t="n">
        <v>25</v>
      </c>
      <c r="M39" s="16">
        <f>J39*L39</f>
        <v/>
      </c>
    </row>
    <row r="40">
      <c r="A40" s="13" t="inlineStr">
        <is>
          <t>Serviços</t>
        </is>
      </c>
      <c r="B40" s="13" t="inlineStr">
        <is>
          <t>Frete (itens sem frete grátis)</t>
        </is>
      </c>
      <c r="C40" s="13" t="inlineStr">
        <is>
          <t>Reserva de frete</t>
        </is>
      </c>
      <c r="D40" s="13" t="inlineStr">
        <is>
          <t>—</t>
        </is>
      </c>
      <c r="E40" s="13" t="inlineStr">
        <is>
          <t>Estimativa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Estimativa</t>
        </is>
      </c>
      <c r="I40" s="13" t="inlineStr">
        <is>
          <t>30/10/2026</t>
        </is>
      </c>
      <c r="J40" s="14" t="n">
        <v>1</v>
      </c>
      <c r="K40" s="13" t="inlineStr">
        <is>
          <t>vb</t>
        </is>
      </c>
      <c r="L40" s="15" t="n">
        <v>150</v>
      </c>
      <c r="M40" s="16">
        <f>J40*L40</f>
        <v/>
      </c>
    </row>
    <row r="42">
      <c r="L42" s="4" t="inlineStr">
        <is>
          <t>Subtotal itens</t>
        </is>
      </c>
      <c r="M42" s="6">
        <f>SUM(M4:M40)</f>
        <v/>
      </c>
    </row>
    <row r="43">
      <c r="L43" s="4" t="inlineStr">
        <is>
          <t>Reserva para imprevistos</t>
        </is>
      </c>
      <c r="M43" s="6">
        <f>M42*contingencia</f>
        <v/>
      </c>
    </row>
    <row r="44">
      <c r="L44" s="4" t="inlineStr">
        <is>
          <t>TOTAL</t>
        </is>
      </c>
      <c r="M44" s="6">
        <f>M42+M43</f>
        <v/>
      </c>
    </row>
  </sheetData>
  <autoFilter ref="A3:M40"/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10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58" customWidth="1" min="3" max="3"/>
    <col width="18" customWidth="1" min="4" max="4"/>
    <col width="48" customWidth="1" min="5" max="5"/>
    <col width="20" customWidth="1" min="6" max="6"/>
    <col width="18" customWidth="1" min="7" max="7"/>
    <col width="26" customWidth="1" min="8" max="8"/>
    <col width="11" customWidth="1" min="9" max="9"/>
    <col width="7" customWidth="1" min="10" max="10"/>
    <col width="7" customWidth="1" min="11" max="11"/>
    <col width="13" customWidth="1" min="12" max="12"/>
    <col width="14" customWidth="1" min="13" max="13"/>
  </cols>
  <sheetData>
    <row r="1">
      <c r="A1" s="7" t="inlineStr">
        <is>
          <t>Orçamento — cenário Equilibrado  (preços consultados em 30/10/2026)</t>
        </is>
      </c>
    </row>
    <row r="3">
      <c r="A3" s="2" t="inlineStr">
        <is>
          <t>Categoria</t>
        </is>
      </c>
      <c r="B3" s="2" t="inlineStr">
        <is>
          <t>Item</t>
        </is>
      </c>
      <c r="C3" s="2" t="inlineStr">
        <is>
          <t>Produto / especificação</t>
        </is>
      </c>
      <c r="D3" s="2" t="inlineStr">
        <is>
          <t>Loja / fornecedor</t>
        </is>
      </c>
      <c r="E3" s="2" t="inlineStr">
        <is>
          <t>Link / fonte</t>
        </is>
      </c>
      <c r="F3" s="2" t="inlineStr">
        <is>
          <t>Dimensões L×P×A (cm)</t>
        </is>
      </c>
      <c r="G3" s="2" t="inlineStr">
        <is>
          <t>Material</t>
        </is>
      </c>
      <c r="H3" s="2" t="inlineStr">
        <is>
          <t>Status do preço</t>
        </is>
      </c>
      <c r="I3" s="2" t="inlineStr">
        <is>
          <t>Data</t>
        </is>
      </c>
      <c r="J3" s="2" t="inlineStr">
        <is>
          <t>Qtd</t>
        </is>
      </c>
      <c r="K3" s="2" t="inlineStr">
        <is>
          <t>Unid.</t>
        </is>
      </c>
      <c r="L3" s="2" t="inlineStr">
        <is>
          <t>Preço unit.</t>
        </is>
      </c>
      <c r="M3" s="2" t="inlineStr">
        <is>
          <t>Subtotal</t>
        </is>
      </c>
    </row>
    <row r="4">
      <c r="A4" s="8" t="inlineStr">
        <is>
          <t>Mobiliário</t>
        </is>
      </c>
      <c r="B4" s="8" t="inlineStr">
        <is>
          <t>Mesa regulável elétrica</t>
        </is>
      </c>
      <c r="C4" s="8" t="inlineStr">
        <is>
          <t>Pichau Starlift Pro 160×70 — usar a ESTRUTURA (80 kg); o tampo original sobra</t>
        </is>
      </c>
      <c r="D4" s="8" t="inlineStr">
        <is>
          <t>Pichau</t>
        </is>
      </c>
      <c r="E4" s="9" t="inlineStr">
        <is>
          <t>https://www.pichau.com.br/mesa-pichau-starlift-pro-com-regulagem-de-altura-160x80cm-preto</t>
        </is>
      </c>
      <c r="F4" s="8" t="inlineStr">
        <is>
          <t>160 × 70 × 73–118</t>
        </is>
      </c>
      <c r="G4" s="8" t="inlineStr">
        <is>
          <t>Aço + MDP melamina preto</t>
        </is>
      </c>
      <c r="H4" s="8" t="inlineStr">
        <is>
          <t>Pesquisado (página do produto)</t>
        </is>
      </c>
      <c r="I4" s="8" t="inlineStr">
        <is>
          <t>30/10/2026</t>
        </is>
      </c>
      <c r="J4" s="10" t="n">
        <v>1</v>
      </c>
      <c r="K4" s="8" t="inlineStr">
        <is>
          <t>un</t>
        </is>
      </c>
      <c r="L4" s="11" t="n">
        <v>823.99</v>
      </c>
      <c r="M4" s="12">
        <f>J4*L4</f>
        <v/>
      </c>
    </row>
    <row r="5">
      <c r="A5" s="13" t="inlineStr">
        <is>
          <t>Mobiliário</t>
        </is>
      </c>
      <c r="B5" s="13" t="inlineStr">
        <is>
          <t>Tampo sob medida</t>
        </is>
      </c>
      <c r="C5" s="13" t="inlineStr">
        <is>
          <t>Tampo MDF 25 mm freijó 170×70, borda reta, furo p/ braço e passa-cabo</t>
        </is>
      </c>
      <c r="D5" s="13" t="inlineStr">
        <is>
          <t>Marceneiro local</t>
        </is>
      </c>
      <c r="E5" s="13" t="inlineStr">
        <is>
          <t>Estimativa</t>
        </is>
      </c>
      <c r="F5" s="13" t="inlineStr">
        <is>
          <t>170 × 70 × 2,5</t>
        </is>
      </c>
      <c r="G5" s="13" t="inlineStr">
        <is>
          <t>MDF BP freijó</t>
        </is>
      </c>
      <c r="H5" s="13" t="inlineStr">
        <is>
          <t>Estimativa</t>
        </is>
      </c>
      <c r="I5" s="13" t="inlineStr">
        <is>
          <t>30/10/2026</t>
        </is>
      </c>
      <c r="J5" s="14" t="n">
        <v>1</v>
      </c>
      <c r="K5" s="13" t="inlineStr">
        <is>
          <t>un</t>
        </is>
      </c>
      <c r="L5" s="15" t="n">
        <v>700</v>
      </c>
      <c r="M5" s="16">
        <f>J5*L5</f>
        <v/>
      </c>
    </row>
    <row r="6">
      <c r="A6" s="8" t="inlineStr">
        <is>
          <t>Mobiliário</t>
        </is>
      </c>
      <c r="B6" s="8" t="inlineStr">
        <is>
          <t>Cadeira ergonômica</t>
        </is>
      </c>
      <c r="C6" s="8" t="inlineStr">
        <is>
          <t>DT3 Elin Black 14881-2 (braço 5D, encosto de cabeça 3D, lombar)</t>
        </is>
      </c>
      <c r="D6" s="8" t="inlineStr">
        <is>
          <t>Pichau</t>
        </is>
      </c>
      <c r="E6" s="9" t="inlineStr">
        <is>
          <t>https://www.pichau.com.br/cadeira-ergonomica-dt3-elin-black-14881-2</t>
        </is>
      </c>
      <c r="F6" s="8" t="inlineStr">
        <is>
          <t>não declarada (est. 65 × 65)</t>
        </is>
      </c>
      <c r="G6" s="8" t="inlineStr">
        <is>
          <t>Tecido + nylon</t>
        </is>
      </c>
      <c r="H6" s="8" t="inlineStr">
        <is>
          <t>Pesquisado (página do produto)</t>
        </is>
      </c>
      <c r="I6" s="8" t="inlineStr">
        <is>
          <t>30/10/2026</t>
        </is>
      </c>
      <c r="J6" s="10" t="n">
        <v>1</v>
      </c>
      <c r="K6" s="8" t="inlineStr">
        <is>
          <t>un</t>
        </is>
      </c>
      <c r="L6" s="11" t="n">
        <v>1199.99</v>
      </c>
      <c r="M6" s="12">
        <f>J6*L6</f>
        <v/>
      </c>
    </row>
    <row r="7">
      <c r="A7" s="8" t="inlineStr">
        <is>
          <t>Mobiliário</t>
        </is>
      </c>
      <c r="B7" s="8" t="inlineStr">
        <is>
          <t>Cama box + colchão solteiro</t>
        </is>
      </c>
      <c r="C7" s="8" t="inlineStr">
        <is>
          <t>Gazin Maximus molas ensacadas, linho grafite/preto</t>
        </is>
      </c>
      <c r="D7" s="8" t="inlineStr">
        <is>
          <t>Amazon</t>
        </is>
      </c>
      <c r="E7" s="9" t="inlineStr">
        <is>
          <t>https://www.amazon.com.br/dp/B0D1J7X17Z</t>
        </is>
      </c>
      <c r="F7" s="8" t="inlineStr">
        <is>
          <t>88 × 188 × 62</t>
        </is>
      </c>
      <c r="G7" s="8" t="inlineStr">
        <is>
          <t>Molas ensacadas</t>
        </is>
      </c>
      <c r="H7" s="8" t="inlineStr">
        <is>
          <t>Pesquisado (listagem da loja)</t>
        </is>
      </c>
      <c r="I7" s="8" t="inlineStr">
        <is>
          <t>30/10/2026</t>
        </is>
      </c>
      <c r="J7" s="10" t="n">
        <v>1</v>
      </c>
      <c r="K7" s="8" t="inlineStr">
        <is>
          <t>un</t>
        </is>
      </c>
      <c r="L7" s="11" t="n">
        <v>899.1</v>
      </c>
      <c r="M7" s="12">
        <f>J7*L7</f>
        <v/>
      </c>
    </row>
    <row r="8">
      <c r="A8" s="8" t="inlineStr">
        <is>
          <t>Mobiliário</t>
        </is>
      </c>
      <c r="B8" s="8" t="inlineStr">
        <is>
          <t>Braço articulado 2 monitores</t>
        </is>
      </c>
      <c r="C8" s="8" t="inlineStr">
        <is>
          <t>ELG F160N 17–35" (2–9 kg/braço; borda ou furo)</t>
        </is>
      </c>
      <c r="D8" s="8" t="inlineStr">
        <is>
          <t>Amazon</t>
        </is>
      </c>
      <c r="E8" s="9" t="inlineStr">
        <is>
          <t>https://www.amazon.com.br/dp/B0765KZDWP</t>
        </is>
      </c>
      <c r="F8" s="8" t="inlineStr">
        <is>
          <t>—</t>
        </is>
      </c>
      <c r="G8" s="8" t="inlineStr">
        <is>
          <t>Aço/alumínio</t>
        </is>
      </c>
      <c r="H8" s="8" t="inlineStr">
        <is>
          <t>Pesquisado (página do produto)</t>
        </is>
      </c>
      <c r="I8" s="8" t="inlineStr">
        <is>
          <t>30/10/2026</t>
        </is>
      </c>
      <c r="J8" s="10" t="n">
        <v>1</v>
      </c>
      <c r="K8" s="8" t="inlineStr">
        <is>
          <t>un</t>
        </is>
      </c>
      <c r="L8" s="11" t="n">
        <v>218.87</v>
      </c>
      <c r="M8" s="12">
        <f>J8*L8</f>
        <v/>
      </c>
    </row>
    <row r="9">
      <c r="A9" s="13" t="inlineStr">
        <is>
          <t>Marcenaria</t>
        </is>
      </c>
      <c r="B9" s="13" t="inlineStr">
        <is>
          <t>Painel ripado Parede D (piso→teto)</t>
        </is>
      </c>
      <c r="C9" s="13" t="inlineStr">
        <is>
          <t>Ripado MDF BP freijó + fundo preto, recortes, instalado</t>
        </is>
      </c>
      <c r="D9" s="13" t="inlineStr">
        <is>
          <t>Marceneiro local</t>
        </is>
      </c>
      <c r="E9" s="13" t="inlineStr">
        <is>
          <t>Faixa R$ 250–600/m² instalado (Revista Oeste); R$ 180–750/m² (Monitor do Mercado) — https://monitordomercado.com.br/economia-2/385193-quanto-custa-instalar-painel-ripado-e-transformar-a-sala-com-um-visual-moderno-e-sofisticado/</t>
        </is>
      </c>
      <c r="F9" s="13" t="inlineStr">
        <is>
          <t>265 × 3 × 264</t>
        </is>
      </c>
      <c r="G9" s="13" t="inlineStr">
        <is>
          <t>MDF BP freijó</t>
        </is>
      </c>
      <c r="H9" s="13" t="inlineStr">
        <is>
          <t>Estimativa</t>
        </is>
      </c>
      <c r="I9" s="13" t="inlineStr">
        <is>
          <t>30/10/2026</t>
        </is>
      </c>
      <c r="J9" s="14">
        <f>area_ripado</f>
        <v/>
      </c>
      <c r="K9" s="13" t="inlineStr">
        <is>
          <t>m²</t>
        </is>
      </c>
      <c r="L9" s="15" t="n">
        <v>400</v>
      </c>
      <c r="M9" s="16">
        <f>J9*L9</f>
        <v/>
      </c>
    </row>
    <row r="10">
      <c r="A10" s="13" t="inlineStr">
        <is>
          <t>Marcenaria</t>
        </is>
      </c>
      <c r="B10" s="13" t="inlineStr">
        <is>
          <t>Prateleira sobre a mesa</t>
        </is>
      </c>
      <c r="C10" s="13" t="inlineStr">
        <is>
          <t>Prateleira freijó 170×25 c/ rasgo para LED, h = 1,95 m</t>
        </is>
      </c>
      <c r="D10" s="13" t="inlineStr">
        <is>
          <t>Marceneiro local</t>
        </is>
      </c>
      <c r="E10" s="13" t="inlineStr">
        <is>
          <t>Estimativa</t>
        </is>
      </c>
      <c r="F10" s="13" t="inlineStr">
        <is>
          <t>170 × 25 × 2,5</t>
        </is>
      </c>
      <c r="G10" s="13" t="inlineStr">
        <is>
          <t>MDF BP freijó</t>
        </is>
      </c>
      <c r="H10" s="13" t="inlineStr">
        <is>
          <t>Estimativa</t>
        </is>
      </c>
      <c r="I10" s="13" t="inlineStr">
        <is>
          <t>30/10/2026</t>
        </is>
      </c>
      <c r="J10" s="14" t="n">
        <v>1</v>
      </c>
      <c r="K10" s="13" t="inlineStr">
        <is>
          <t>un</t>
        </is>
      </c>
      <c r="L10" s="15" t="n">
        <v>500</v>
      </c>
      <c r="M10" s="16">
        <f>J10*L10</f>
        <v/>
      </c>
    </row>
    <row r="11">
      <c r="A11" s="13" t="inlineStr">
        <is>
          <t>Marcenaria</t>
        </is>
      </c>
      <c r="B11" s="13" t="inlineStr">
        <is>
          <t>Nichos iluminados 3× (cabeceira)</t>
        </is>
      </c>
      <c r="C11" s="13" t="inlineStr">
        <is>
          <t>MDF BP freijó 15 mm, fundo preto, rasgo p/ LED</t>
        </is>
      </c>
      <c r="D11" s="13" t="inlineStr">
        <is>
          <t>Marceneiro local</t>
        </is>
      </c>
      <c r="E11" s="13" t="inlineStr">
        <is>
          <t>Estimativa</t>
        </is>
      </c>
      <c r="F11" s="13" t="inlineStr">
        <is>
          <t>3 × (24 × 26 × 16)</t>
        </is>
      </c>
      <c r="G11" s="13" t="inlineStr">
        <is>
          <t>MDF BP freijó</t>
        </is>
      </c>
      <c r="H11" s="13" t="inlineStr">
        <is>
          <t>Estimativa</t>
        </is>
      </c>
      <c r="I11" s="13" t="inlineStr">
        <is>
          <t>30/10/2026</t>
        </is>
      </c>
      <c r="J11" s="14" t="n">
        <v>1</v>
      </c>
      <c r="K11" s="13" t="inlineStr">
        <is>
          <t>vb</t>
        </is>
      </c>
      <c r="L11" s="15" t="n">
        <v>450</v>
      </c>
      <c r="M11" s="16">
        <f>J11*L11</f>
        <v/>
      </c>
    </row>
    <row r="12">
      <c r="A12" s="8" t="inlineStr">
        <is>
          <t>Iluminação</t>
        </is>
      </c>
      <c r="B12" s="8" t="inlineStr">
        <is>
          <t>Fita LED COB 3000 K</t>
        </is>
      </c>
      <c r="C12" s="8" t="inlineStr">
        <is>
          <t>Stella All Light Pro 16W/m 24V COB 3000K IRC 95+ 5 m</t>
        </is>
      </c>
      <c r="D12" s="8" t="inlineStr">
        <is>
          <t>Amazon</t>
        </is>
      </c>
      <c r="E12" s="9" t="inlineStr">
        <is>
          <t>https://www.amazon.com.br/dp/B0F7ZGD3M2</t>
        </is>
      </c>
      <c r="F12" s="8" t="inlineStr">
        <is>
          <t>5 m</t>
        </is>
      </c>
      <c r="G12" s="8" t="inlineStr">
        <is>
          <t>—</t>
        </is>
      </c>
      <c r="H12" s="8" t="inlineStr">
        <is>
          <t>Pesquisado (listagem da loja)</t>
        </is>
      </c>
      <c r="I12" s="8" t="inlineStr">
        <is>
          <t>30/10/2026</t>
        </is>
      </c>
      <c r="J12" s="10">
        <f>rolos_led</f>
        <v/>
      </c>
      <c r="K12" s="8" t="inlineStr">
        <is>
          <t>rolo</t>
        </is>
      </c>
      <c r="L12" s="11" t="n">
        <v>200.69</v>
      </c>
      <c r="M12" s="12">
        <f>J12*L12</f>
        <v/>
      </c>
    </row>
    <row r="13">
      <c r="A13" s="8" t="inlineStr">
        <is>
          <t>Iluminação</t>
        </is>
      </c>
      <c r="B13" s="8" t="inlineStr">
        <is>
          <t>Fonte 24 V</t>
        </is>
      </c>
      <c r="C13" s="8" t="inlineStr">
        <is>
          <t>Fonte chaveada slim 24V 5A 120W bivolt</t>
        </is>
      </c>
      <c r="D13" s="8" t="inlineStr">
        <is>
          <t>Amazon</t>
        </is>
      </c>
      <c r="E13" s="9" t="inlineStr">
        <is>
          <t>https://www.amazon.com.br/dp/B0H7CQ2BY2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Pesquisado (listagem da loja)</t>
        </is>
      </c>
      <c r="I13" s="8" t="inlineStr">
        <is>
          <t>30/10/2026</t>
        </is>
      </c>
      <c r="J13" s="10" t="n">
        <v>1</v>
      </c>
      <c r="K13" s="8" t="inlineStr">
        <is>
          <t>un</t>
        </is>
      </c>
      <c r="L13" s="11" t="n">
        <v>61.99</v>
      </c>
      <c r="M13" s="12">
        <f>J13*L13</f>
        <v/>
      </c>
    </row>
    <row r="14">
      <c r="A14" s="8" t="inlineStr">
        <is>
          <t>Iluminação</t>
        </is>
      </c>
      <c r="B14" s="8" t="inlineStr">
        <is>
          <t>Perfil de alumínio p/ LED</t>
        </is>
      </c>
      <c r="C14" s="8" t="inlineStr">
        <is>
          <t>Perfil LED embutir 24×7 mm slim 2 m preto</t>
        </is>
      </c>
      <c r="D14" s="8" t="inlineStr">
        <is>
          <t>Amazon</t>
        </is>
      </c>
      <c r="E14" s="9" t="inlineStr">
        <is>
          <t>https://www.amazon.com.br/dp/B0F1ZBZZTP</t>
        </is>
      </c>
      <c r="F14" s="8" t="inlineStr">
        <is>
          <t>200 cm</t>
        </is>
      </c>
      <c r="G14" s="8" t="inlineStr">
        <is>
          <t>Alumínio</t>
        </is>
      </c>
      <c r="H14" s="8" t="inlineStr">
        <is>
          <t>Pesquisado (listagem da loja)</t>
        </is>
      </c>
      <c r="I14" s="8" t="inlineStr">
        <is>
          <t>30/10/2026</t>
        </is>
      </c>
      <c r="J14" s="10">
        <f>barras_perfil</f>
        <v/>
      </c>
      <c r="K14" s="8" t="inlineStr">
        <is>
          <t>barra</t>
        </is>
      </c>
      <c r="L14" s="11" t="n">
        <v>29.9</v>
      </c>
      <c r="M14" s="12">
        <f>J14*L14</f>
        <v/>
      </c>
    </row>
    <row r="15">
      <c r="A15" s="8" t="inlineStr">
        <is>
          <t>Iluminação</t>
        </is>
      </c>
      <c r="B15" s="8" t="inlineStr">
        <is>
          <t>Controle Wi-Fi da fita</t>
        </is>
      </c>
      <c r="C15" s="8" t="inlineStr">
        <is>
          <t>Controlador Wi-Fi c/ dimmer (Alexa/Google)</t>
        </is>
      </c>
      <c r="D15" s="8" t="inlineStr">
        <is>
          <t>Amazon</t>
        </is>
      </c>
      <c r="E15" s="9" t="inlineStr">
        <is>
          <t>https://www.amazon.com.br/dp/B0FS91PKKL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Pesquisado (listagem da loja)</t>
        </is>
      </c>
      <c r="I15" s="8" t="inlineStr">
        <is>
          <t>30/10/2026</t>
        </is>
      </c>
      <c r="J15" s="10" t="n">
        <v>1</v>
      </c>
      <c r="K15" s="8" t="inlineStr">
        <is>
          <t>un</t>
        </is>
      </c>
      <c r="L15" s="11" t="n">
        <v>43.02</v>
      </c>
      <c r="M15" s="12">
        <f>J15*L15</f>
        <v/>
      </c>
    </row>
    <row r="16">
      <c r="A16" s="8" t="inlineStr">
        <is>
          <t>Iluminação</t>
        </is>
      </c>
      <c r="B16" s="8" t="inlineStr">
        <is>
          <t>Barra de luz p/ monitor</t>
        </is>
      </c>
      <c r="C16" s="8" t="inlineStr">
        <is>
          <t>Quntis Light Bar PRO+ c/ controle remoto</t>
        </is>
      </c>
      <c r="D16" s="8" t="inlineStr">
        <is>
          <t>Amazon</t>
        </is>
      </c>
      <c r="E16" s="9" t="inlineStr">
        <is>
          <t>https://www.amazon.com.br/dp/B0B6P9J3J5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Pesquisado (listagem da loja)</t>
        </is>
      </c>
      <c r="I16" s="8" t="inlineStr">
        <is>
          <t>30/10/2026</t>
        </is>
      </c>
      <c r="J16" s="10" t="n">
        <v>1</v>
      </c>
      <c r="K16" s="8" t="inlineStr">
        <is>
          <t>un</t>
        </is>
      </c>
      <c r="L16" s="11" t="n">
        <v>293.55</v>
      </c>
      <c r="M16" s="12">
        <f>J16*L16</f>
        <v/>
      </c>
    </row>
    <row r="17">
      <c r="A17" s="8" t="inlineStr">
        <is>
          <t>Iluminação</t>
        </is>
      </c>
      <c r="B17" s="8" t="inlineStr">
        <is>
          <t>Arandela da cama</t>
        </is>
      </c>
      <c r="C17" s="8" t="inlineStr">
        <is>
          <t>Arandela tubo articulada preta c/ interruptor (conferir se tem plugue)</t>
        </is>
      </c>
      <c r="D17" s="8" t="inlineStr">
        <is>
          <t>Amazon</t>
        </is>
      </c>
      <c r="E17" s="9" t="inlineStr">
        <is>
          <t>https://www.amazon.com.br/dp/B0DND64VLW</t>
        </is>
      </c>
      <c r="F17" s="8" t="inlineStr">
        <is>
          <t>—</t>
        </is>
      </c>
      <c r="G17" s="8" t="inlineStr">
        <is>
          <t>Metal</t>
        </is>
      </c>
      <c r="H17" s="8" t="inlineStr">
        <is>
          <t>Pesquisado (listagem da loja)</t>
        </is>
      </c>
      <c r="I17" s="8" t="inlineStr">
        <is>
          <t>30/10/2026</t>
        </is>
      </c>
      <c r="J17" s="10" t="n">
        <v>1</v>
      </c>
      <c r="K17" s="8" t="inlineStr">
        <is>
          <t>un</t>
        </is>
      </c>
      <c r="L17" s="11" t="n">
        <v>74.95</v>
      </c>
      <c r="M17" s="12">
        <f>J17*L17</f>
        <v/>
      </c>
    </row>
    <row r="18">
      <c r="A18" s="8" t="inlineStr">
        <is>
          <t>Iluminação</t>
        </is>
      </c>
      <c r="B18" s="8" t="inlineStr">
        <is>
          <t>Lâmpadas 3000 K (ventilador/teto)</t>
        </is>
      </c>
      <c r="C18" s="8" t="inlineStr">
        <is>
          <t>LEDVANCE OSRAM CLA60 9W 3000K E27 (kit 10)</t>
        </is>
      </c>
      <c r="D18" s="8" t="inlineStr">
        <is>
          <t>Amazon</t>
        </is>
      </c>
      <c r="E18" s="9" t="inlineStr">
        <is>
          <t>https://www.amazon.com.br/dp/B0HNY3SPM6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Pesquisado (listagem da loja)</t>
        </is>
      </c>
      <c r="I18" s="8" t="inlineStr">
        <is>
          <t>30/10/2026</t>
        </is>
      </c>
      <c r="J18" s="10" t="n">
        <v>1</v>
      </c>
      <c r="K18" s="8" t="inlineStr">
        <is>
          <t>kit</t>
        </is>
      </c>
      <c r="L18" s="11" t="n">
        <v>69.90000000000001</v>
      </c>
      <c r="M18" s="12">
        <f>J18*L18</f>
        <v/>
      </c>
    </row>
    <row r="19">
      <c r="A19" s="8" t="inlineStr">
        <is>
          <t>Pintura</t>
        </is>
      </c>
      <c r="B19" s="8" t="inlineStr">
        <is>
          <t>Tinta paredes (grafite)</t>
        </is>
      </c>
      <c r="C19" s="8" t="inlineStr">
        <is>
          <t>Suvinil Fosco Completo 3,6 L — preço da base branca; cor grafite em loja (conferir)</t>
        </is>
      </c>
      <c r="D19" s="8" t="inlineStr">
        <is>
          <t>Amazon</t>
        </is>
      </c>
      <c r="E19" s="9" t="inlineStr">
        <is>
          <t>https://www.amazon.com.br/dp/B077G771GN</t>
        </is>
      </c>
      <c r="F19" s="8" t="inlineStr">
        <is>
          <t>3,6 L</t>
        </is>
      </c>
      <c r="G19" s="8" t="inlineStr">
        <is>
          <t>Acrílica fosca</t>
        </is>
      </c>
      <c r="H19" s="8" t="inlineStr">
        <is>
          <t>Pesquisado (listagem da loja)</t>
        </is>
      </c>
      <c r="I19" s="8" t="inlineStr">
        <is>
          <t>30/10/2026</t>
        </is>
      </c>
      <c r="J19" s="10">
        <f>galoes_parede</f>
        <v/>
      </c>
      <c r="K19" s="8" t="inlineStr">
        <is>
          <t>galão</t>
        </is>
      </c>
      <c r="L19" s="11" t="n">
        <v>179.9</v>
      </c>
      <c r="M19" s="12">
        <f>J19*L19</f>
        <v/>
      </c>
    </row>
    <row r="20">
      <c r="A20" s="8" t="inlineStr">
        <is>
          <t>Pintura</t>
        </is>
      </c>
      <c r="B20" s="8" t="inlineStr">
        <is>
          <t>Tinta teto (branco)</t>
        </is>
      </c>
      <c r="C20" s="8" t="inlineStr">
        <is>
          <t>Suvinil acrílica fosca para teto Branco Neve 3,6 L</t>
        </is>
      </c>
      <c r="D20" s="8" t="inlineStr">
        <is>
          <t>Amazon</t>
        </is>
      </c>
      <c r="E20" s="9" t="inlineStr">
        <is>
          <t>https://www.amazon.com.br/dp/B077G6GQSP</t>
        </is>
      </c>
      <c r="F20" s="8" t="inlineStr">
        <is>
          <t>3,6 L</t>
        </is>
      </c>
      <c r="G20" s="8" t="inlineStr">
        <is>
          <t>Acrílica</t>
        </is>
      </c>
      <c r="H20" s="8" t="inlineStr">
        <is>
          <t>Pesquisado (listagem da loja)</t>
        </is>
      </c>
      <c r="I20" s="8" t="inlineStr">
        <is>
          <t>30/10/2026</t>
        </is>
      </c>
      <c r="J20" s="10">
        <f>galoes_teto</f>
        <v/>
      </c>
      <c r="K20" s="8" t="inlineStr">
        <is>
          <t>galão</t>
        </is>
      </c>
      <c r="L20" s="11" t="n">
        <v>171</v>
      </c>
      <c r="M20" s="12">
        <f>J20*L20</f>
        <v/>
      </c>
    </row>
    <row r="21">
      <c r="A21" s="8" t="inlineStr">
        <is>
          <t>Pintura</t>
        </is>
      </c>
      <c r="B21" s="8" t="inlineStr">
        <is>
          <t>Kit pintura</t>
        </is>
      </c>
      <c r="C21" s="8" t="inlineStr">
        <is>
          <t>Kit anti-gotas rolos 23/9 cm, bandeja, suporte e trincha</t>
        </is>
      </c>
      <c r="D21" s="8" t="inlineStr">
        <is>
          <t>Amazon</t>
        </is>
      </c>
      <c r="E21" s="9" t="inlineStr">
        <is>
          <t>https://www.amazon.com.br/dp/B0H6CMVSRL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Pesquisado (listagem da loja)</t>
        </is>
      </c>
      <c r="I21" s="8" t="inlineStr">
        <is>
          <t>30/10/2026</t>
        </is>
      </c>
      <c r="J21" s="10" t="n">
        <v>1</v>
      </c>
      <c r="K21" s="8" t="inlineStr">
        <is>
          <t>kit</t>
        </is>
      </c>
      <c r="L21" s="11" t="n">
        <v>31.99</v>
      </c>
      <c r="M21" s="12">
        <f>J21*L21</f>
        <v/>
      </c>
    </row>
    <row r="22">
      <c r="A22" s="8" t="inlineStr">
        <is>
          <t>Pintura</t>
        </is>
      </c>
      <c r="B22" s="8" t="inlineStr">
        <is>
          <t>Fita crepe</t>
        </is>
      </c>
      <c r="C22" s="8" t="inlineStr">
        <is>
          <t>Kit 2 fitas crepe 48 mm × 50 m</t>
        </is>
      </c>
      <c r="D22" s="8" t="inlineStr">
        <is>
          <t>Amazon</t>
        </is>
      </c>
      <c r="E22" s="9" t="inlineStr">
        <is>
          <t>https://www.amazon.com.br/dp/B0H8BCLC4J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Pesquisado (listagem da loja)</t>
        </is>
      </c>
      <c r="I22" s="8" t="inlineStr">
        <is>
          <t>30/10/2026</t>
        </is>
      </c>
      <c r="J22" s="10" t="n">
        <v>1</v>
      </c>
      <c r="K22" s="8" t="inlineStr">
        <is>
          <t>kit</t>
        </is>
      </c>
      <c r="L22" s="11" t="n">
        <v>29.8</v>
      </c>
      <c r="M22" s="12">
        <f>J22*L22</f>
        <v/>
      </c>
    </row>
    <row r="23">
      <c r="A23" s="8" t="inlineStr">
        <is>
          <t>Pintura</t>
        </is>
      </c>
      <c r="B23" s="8" t="inlineStr">
        <is>
          <t>Proteção de piso/móveis</t>
        </is>
      </c>
      <c r="C23" s="8" t="inlineStr">
        <is>
          <t>Lona protetora c/ fita 1,5 × 10 m</t>
        </is>
      </c>
      <c r="D23" s="8" t="inlineStr">
        <is>
          <t>Amazon</t>
        </is>
      </c>
      <c r="E23" s="9" t="inlineStr">
        <is>
          <t>https://www.amazon.com.br/dp/B0GVPX4YVY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Pesquisado (listagem da loja)</t>
        </is>
      </c>
      <c r="I23" s="8" t="inlineStr">
        <is>
          <t>30/10/2026</t>
        </is>
      </c>
      <c r="J23" s="10" t="n">
        <v>1</v>
      </c>
      <c r="K23" s="8" t="inlineStr">
        <is>
          <t>un</t>
        </is>
      </c>
      <c r="L23" s="11" t="n">
        <v>15.9</v>
      </c>
      <c r="M23" s="12">
        <f>J23*L23</f>
        <v/>
      </c>
    </row>
    <row r="24">
      <c r="A24" s="13" t="inlineStr">
        <is>
          <t>Pintura</t>
        </is>
      </c>
      <c r="B24" s="13" t="inlineStr">
        <is>
          <t>Massa/reparos pontuais</t>
        </is>
      </c>
      <c r="C24" s="13" t="inlineStr">
        <is>
          <t>Massa corrida + lixa (reparos)</t>
        </is>
      </c>
      <c r="D24" s="13" t="inlineStr">
        <is>
          <t>—</t>
        </is>
      </c>
      <c r="E24" s="13" t="inlineStr">
        <is>
          <t>Estimativa</t>
        </is>
      </c>
      <c r="F24" s="13" t="inlineStr">
        <is>
          <t>—</t>
        </is>
      </c>
      <c r="G24" s="13" t="inlineStr">
        <is>
          <t>—</t>
        </is>
      </c>
      <c r="H24" s="13" t="inlineStr">
        <is>
          <t>Estimativa</t>
        </is>
      </c>
      <c r="I24" s="13" t="inlineStr">
        <is>
          <t>30/10/2026</t>
        </is>
      </c>
      <c r="J24" s="14" t="n">
        <v>1</v>
      </c>
      <c r="K24" s="13" t="inlineStr">
        <is>
          <t>vb</t>
        </is>
      </c>
      <c r="L24" s="15" t="n">
        <v>60</v>
      </c>
      <c r="M24" s="16">
        <f>J24*L24</f>
        <v/>
      </c>
    </row>
    <row r="25">
      <c r="A25" s="8" t="inlineStr">
        <is>
          <t>Complementares</t>
        </is>
      </c>
      <c r="B25" s="8" t="inlineStr">
        <is>
          <t>Tapete</t>
        </is>
      </c>
      <c r="C25" s="8" t="inlineStr">
        <is>
          <t>Tapete pelo baixo c/ relevo cinza escuro 2,00 × 1,40</t>
        </is>
      </c>
      <c r="D25" s="8" t="inlineStr">
        <is>
          <t>Amazon</t>
        </is>
      </c>
      <c r="E25" s="9" t="inlineStr">
        <is>
          <t>https://www.amazon.com.br/dp/B0GXCDQG6W</t>
        </is>
      </c>
      <c r="F25" s="8" t="inlineStr">
        <is>
          <t>140 × 200</t>
        </is>
      </c>
      <c r="G25" s="8" t="inlineStr">
        <is>
          <t>Sintético</t>
        </is>
      </c>
      <c r="H25" s="8" t="inlineStr">
        <is>
          <t>Pesquisado (listagem da loja)</t>
        </is>
      </c>
      <c r="I25" s="8" t="inlineStr">
        <is>
          <t>30/10/2026</t>
        </is>
      </c>
      <c r="J25" s="10" t="n">
        <v>1</v>
      </c>
      <c r="K25" s="8" t="inlineStr">
        <is>
          <t>un</t>
        </is>
      </c>
      <c r="L25" s="11" t="n">
        <v>142.4</v>
      </c>
      <c r="M25" s="12">
        <f>J25*L25</f>
        <v/>
      </c>
    </row>
    <row r="26">
      <c r="A26" s="8" t="inlineStr">
        <is>
          <t>Complementares</t>
        </is>
      </c>
      <c r="B26" s="8" t="inlineStr">
        <is>
          <t>Filtro de linha c/ DPS</t>
        </is>
      </c>
      <c r="C26" s="8" t="inlineStr">
        <is>
          <t>iCLAMPER Energia 5 tomadas</t>
        </is>
      </c>
      <c r="D26" s="8" t="inlineStr">
        <is>
          <t>Amazon</t>
        </is>
      </c>
      <c r="E26" s="9" t="inlineStr">
        <is>
          <t>https://www.amazon.com.br/dp/B0D8V17JSG</t>
        </is>
      </c>
      <c r="F26" s="8" t="inlineStr">
        <is>
          <t>—</t>
        </is>
      </c>
      <c r="G26" s="8" t="inlineStr">
        <is>
          <t>—</t>
        </is>
      </c>
      <c r="H26" s="8" t="inlineStr">
        <is>
          <t>Pesquisado (listagem da loja)</t>
        </is>
      </c>
      <c r="I26" s="8" t="inlineStr">
        <is>
          <t>30/10/2026</t>
        </is>
      </c>
      <c r="J26" s="10" t="n">
        <v>1</v>
      </c>
      <c r="K26" s="8" t="inlineStr">
        <is>
          <t>un</t>
        </is>
      </c>
      <c r="L26" s="11" t="n">
        <v>71.98</v>
      </c>
      <c r="M26" s="12">
        <f>J26*L26</f>
        <v/>
      </c>
    </row>
    <row r="27">
      <c r="A27" s="8" t="inlineStr">
        <is>
          <t>Complementares</t>
        </is>
      </c>
      <c r="B27" s="8" t="inlineStr">
        <is>
          <t>Prolongador da tomada (ripado)</t>
        </is>
      </c>
      <c r="C27" s="8" t="inlineStr">
        <is>
          <t>Margirius prolongador caixa 4×2</t>
        </is>
      </c>
      <c r="D27" s="8" t="inlineStr">
        <is>
          <t>Amazon</t>
        </is>
      </c>
      <c r="E27" s="9" t="inlineStr">
        <is>
          <t>https://www.amazon.com.br/dp/B089M44PPG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Pesquisado (listagem da loja)</t>
        </is>
      </c>
      <c r="I27" s="8" t="inlineStr">
        <is>
          <t>30/10/2026</t>
        </is>
      </c>
      <c r="J27" s="10" t="n">
        <v>1</v>
      </c>
      <c r="K27" s="8" t="inlineStr">
        <is>
          <t>un</t>
        </is>
      </c>
      <c r="L27" s="11" t="n">
        <v>23.27</v>
      </c>
      <c r="M27" s="12">
        <f>J27*L27</f>
        <v/>
      </c>
    </row>
    <row r="28">
      <c r="A28" s="8" t="inlineStr">
        <is>
          <t>Complementares</t>
        </is>
      </c>
      <c r="B28" s="8" t="inlineStr">
        <is>
          <t>Bandeja de cabos sob a mesa</t>
        </is>
      </c>
      <c r="C28" s="8" t="inlineStr">
        <is>
          <t>Bandeja organizadora sem perfuração</t>
        </is>
      </c>
      <c r="D28" s="8" t="inlineStr">
        <is>
          <t>Amazon</t>
        </is>
      </c>
      <c r="E28" s="9" t="inlineStr">
        <is>
          <t>https://www.amazon.com.br/dp/B0GJRDZM82</t>
        </is>
      </c>
      <c r="F28" s="8" t="inlineStr">
        <is>
          <t>—</t>
        </is>
      </c>
      <c r="G28" s="8" t="inlineStr">
        <is>
          <t>Metal</t>
        </is>
      </c>
      <c r="H28" s="8" t="inlineStr">
        <is>
          <t>Pesquisado (listagem da loja)</t>
        </is>
      </c>
      <c r="I28" s="8" t="inlineStr">
        <is>
          <t>30/10/2026</t>
        </is>
      </c>
      <c r="J28" s="10" t="n">
        <v>1</v>
      </c>
      <c r="K28" s="8" t="inlineStr">
        <is>
          <t>un</t>
        </is>
      </c>
      <c r="L28" s="11" t="n">
        <v>119.69</v>
      </c>
      <c r="M28" s="12">
        <f>J28*L28</f>
        <v/>
      </c>
    </row>
    <row r="29">
      <c r="A29" s="8" t="inlineStr">
        <is>
          <t>Complementares</t>
        </is>
      </c>
      <c r="B29" s="8" t="inlineStr">
        <is>
          <t>Suporte de notebook</t>
        </is>
      </c>
      <c r="C29" s="8" t="inlineStr">
        <is>
          <t>Suporte dobrável alumínio c/ regulagem</t>
        </is>
      </c>
      <c r="D29" s="8" t="inlineStr">
        <is>
          <t>Amazon</t>
        </is>
      </c>
      <c r="E29" s="9" t="inlineStr">
        <is>
          <t>https://www.amazon.com.br/dp/B0H13G1VTW</t>
        </is>
      </c>
      <c r="F29" s="8" t="inlineStr">
        <is>
          <t>—</t>
        </is>
      </c>
      <c r="G29" s="8" t="inlineStr">
        <is>
          <t>Alumínio</t>
        </is>
      </c>
      <c r="H29" s="8" t="inlineStr">
        <is>
          <t>Pesquisado (listagem da loja)</t>
        </is>
      </c>
      <c r="I29" s="8" t="inlineStr">
        <is>
          <t>30/10/2026</t>
        </is>
      </c>
      <c r="J29" s="10" t="n">
        <v>1</v>
      </c>
      <c r="K29" s="8" t="inlineStr">
        <is>
          <t>un</t>
        </is>
      </c>
      <c r="L29" s="11" t="n">
        <v>65.78</v>
      </c>
      <c r="M29" s="12">
        <f>J29*L29</f>
        <v/>
      </c>
    </row>
    <row r="30">
      <c r="A30" s="13" t="inlineStr">
        <is>
          <t>Decoração (opcional)</t>
        </is>
      </c>
      <c r="B30" s="13" t="inlineStr">
        <is>
          <t>Luminária de mesa articulada</t>
        </is>
      </c>
      <c r="C30" s="13" t="inlineStr">
        <is>
          <t>Luminária articulada preta, E27, lâmpada 2700 K</t>
        </is>
      </c>
      <c r="D30" s="13" t="inlineStr">
        <is>
          <t>A pesquisar</t>
        </is>
      </c>
      <c r="E30" s="13" t="inlineStr">
        <is>
          <t>Estimativa (preço não pesquisado)</t>
        </is>
      </c>
      <c r="F30" s="13" t="inlineStr">
        <is>
          <t>—</t>
        </is>
      </c>
      <c r="G30" s="13" t="inlineStr">
        <is>
          <t>—</t>
        </is>
      </c>
      <c r="H30" s="13" t="inlineStr">
        <is>
          <t>Estimativa</t>
        </is>
      </c>
      <c r="I30" s="13" t="inlineStr">
        <is>
          <t>30/10/2026</t>
        </is>
      </c>
      <c r="J30" s="14" t="n">
        <v>1</v>
      </c>
      <c r="K30" s="13" t="inlineStr">
        <is>
          <t>un</t>
        </is>
      </c>
      <c r="L30" s="15" t="n">
        <v>120</v>
      </c>
      <c r="M30" s="16">
        <f>J30*L30</f>
        <v/>
      </c>
    </row>
    <row r="31">
      <c r="A31" s="13" t="inlineStr">
        <is>
          <t>Decoração (opcional)</t>
        </is>
      </c>
      <c r="B31" s="13" t="inlineStr">
        <is>
          <t>Suporte de headphone</t>
        </is>
      </c>
      <c r="C31" s="13" t="inlineStr">
        <is>
          <t>Suporte de mesa em metal preto</t>
        </is>
      </c>
      <c r="D31" s="13" t="inlineStr">
        <is>
          <t>A pesquisar</t>
        </is>
      </c>
      <c r="E31" s="13" t="inlineStr">
        <is>
          <t>Estimativa (preço não pesquisado)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Estimativa</t>
        </is>
      </c>
      <c r="I31" s="13" t="inlineStr">
        <is>
          <t>30/10/2026</t>
        </is>
      </c>
      <c r="J31" s="14" t="n">
        <v>1</v>
      </c>
      <c r="K31" s="13" t="inlineStr">
        <is>
          <t>un</t>
        </is>
      </c>
      <c r="L31" s="15" t="n">
        <v>60</v>
      </c>
      <c r="M31" s="16">
        <f>J31*L31</f>
        <v/>
      </c>
    </row>
    <row r="32">
      <c r="A32" s="13" t="inlineStr">
        <is>
          <t>Decoração (opcional)</t>
        </is>
      </c>
      <c r="B32" s="13" t="inlineStr">
        <is>
          <t>Quadros P&amp;B (3 na parede + 2 na prateleira)</t>
        </is>
      </c>
      <c r="C32" s="13" t="inlineStr">
        <is>
          <t>Impressões P&amp;B 40×55, 2× 36×26, 20×25, 15×20 c/ moldura preta e passe-partout</t>
        </is>
      </c>
      <c r="D32" s="13" t="inlineStr">
        <is>
          <t>A pesquisar</t>
        </is>
      </c>
      <c r="E32" s="13" t="inlineStr">
        <is>
          <t>Estimativa (preço não pesquisado)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Estimativa</t>
        </is>
      </c>
      <c r="I32" s="13" t="inlineStr">
        <is>
          <t>30/10/2026</t>
        </is>
      </c>
      <c r="J32" s="14" t="n">
        <v>1</v>
      </c>
      <c r="K32" s="13" t="inlineStr">
        <is>
          <t>un</t>
        </is>
      </c>
      <c r="L32" s="15" t="n">
        <v>350</v>
      </c>
      <c r="M32" s="16">
        <f>J32*L32</f>
        <v/>
      </c>
    </row>
    <row r="33">
      <c r="A33" s="13" t="inlineStr">
        <is>
          <t>Decoração (opcional)</t>
        </is>
      </c>
      <c r="B33" s="13" t="inlineStr">
        <is>
          <t>Planta pendente</t>
        </is>
      </c>
      <c r="C33" s="13" t="inlineStr">
        <is>
          <t>Vaso cerâmica preta Ø18 + suporte de corda + samambaia + gancho de teto</t>
        </is>
      </c>
      <c r="D33" s="13" t="inlineStr">
        <is>
          <t>A pesquisar</t>
        </is>
      </c>
      <c r="E33" s="13" t="inlineStr">
        <is>
          <t>Estimativa (preço não pesquisado)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Estimativa</t>
        </is>
      </c>
      <c r="I33" s="13" t="inlineStr">
        <is>
          <t>30/10/2026</t>
        </is>
      </c>
      <c r="J33" s="14" t="n">
        <v>1</v>
      </c>
      <c r="K33" s="13" t="inlineStr">
        <is>
          <t>un</t>
        </is>
      </c>
      <c r="L33" s="15" t="n">
        <v>120</v>
      </c>
      <c r="M33" s="16">
        <f>J33*L33</f>
        <v/>
      </c>
    </row>
    <row r="34">
      <c r="A34" s="13" t="inlineStr">
        <is>
          <t>Decoração (opcional)</t>
        </is>
      </c>
      <c r="B34" s="13" t="inlineStr">
        <is>
          <t>Objetos dos nichos</t>
        </is>
      </c>
      <c r="C34" s="13" t="inlineStr">
        <is>
          <t>Vaso cerâmica + elefante em madeira + escultura de baleia (~15 cm)</t>
        </is>
      </c>
      <c r="D34" s="13" t="inlineStr">
        <is>
          <t>A pesquisar</t>
        </is>
      </c>
      <c r="E34" s="13" t="inlineStr">
        <is>
          <t>Estimativa (preço não pesquisado)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Estimativa</t>
        </is>
      </c>
      <c r="I34" s="13" t="inlineStr">
        <is>
          <t>30/10/2026</t>
        </is>
      </c>
      <c r="J34" s="14" t="n">
        <v>1</v>
      </c>
      <c r="K34" s="13" t="inlineStr">
        <is>
          <t>un</t>
        </is>
      </c>
      <c r="L34" s="15" t="n">
        <v>200</v>
      </c>
      <c r="M34" s="16">
        <f>J34*L34</f>
        <v/>
      </c>
    </row>
    <row r="35">
      <c r="A35" s="13" t="inlineStr">
        <is>
          <t>Decoração (opcional)</t>
        </is>
      </c>
      <c r="B35" s="13" t="inlineStr">
        <is>
          <t>Plantas da prateleira</t>
        </is>
      </c>
      <c r="C35" s="13" t="inlineStr">
        <is>
          <t>Vaso médio c/ planta + suculenta</t>
        </is>
      </c>
      <c r="D35" s="13" t="inlineStr">
        <is>
          <t>A pesquisar</t>
        </is>
      </c>
      <c r="E35" s="13" t="inlineStr">
        <is>
          <t>Estimativa (preço não pesquisado)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Estimativa</t>
        </is>
      </c>
      <c r="I35" s="13" t="inlineStr">
        <is>
          <t>30/10/2026</t>
        </is>
      </c>
      <c r="J35" s="14" t="n">
        <v>1</v>
      </c>
      <c r="K35" s="13" t="inlineStr">
        <is>
          <t>un</t>
        </is>
      </c>
      <c r="L35" s="15" t="n">
        <v>100</v>
      </c>
      <c r="M35" s="16">
        <f>J35*L35</f>
        <v/>
      </c>
    </row>
    <row r="36">
      <c r="A36" s="13" t="inlineStr">
        <is>
          <t>Decoração (opcional)</t>
        </is>
      </c>
      <c r="B36" s="13" t="inlineStr">
        <is>
          <t>Relógio LED de prateleira</t>
        </is>
      </c>
      <c r="C36" s="13" t="inlineStr">
        <is>
          <t>Relógio digital LED 12 cm</t>
        </is>
      </c>
      <c r="D36" s="13" t="inlineStr">
        <is>
          <t>A pesquisar</t>
        </is>
      </c>
      <c r="E36" s="13" t="inlineStr">
        <is>
          <t>Estimativa (preço não pesquisado)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Estimativa</t>
        </is>
      </c>
      <c r="I36" s="13" t="inlineStr">
        <is>
          <t>30/10/2026</t>
        </is>
      </c>
      <c r="J36" s="14" t="n">
        <v>1</v>
      </c>
      <c r="K36" s="13" t="inlineStr">
        <is>
          <t>un</t>
        </is>
      </c>
      <c r="L36" s="15" t="n">
        <v>70</v>
      </c>
      <c r="M36" s="16">
        <f>J36*L36</f>
        <v/>
      </c>
    </row>
    <row r="37">
      <c r="A37" s="13" t="inlineStr">
        <is>
          <t>Decoração (opcional)</t>
        </is>
      </c>
      <c r="B37" s="13" t="inlineStr">
        <is>
          <t>Caneca e acessórios de mesa</t>
        </is>
      </c>
      <c r="C37" s="13" t="inlineStr">
        <is>
          <t>Caneca de cerâmica + porta-lápis</t>
        </is>
      </c>
      <c r="D37" s="13" t="inlineStr">
        <is>
          <t>A pesquisar</t>
        </is>
      </c>
      <c r="E37" s="13" t="inlineStr">
        <is>
          <t>Estimativa (preço não pesquisado)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Estimativa</t>
        </is>
      </c>
      <c r="I37" s="13" t="inlineStr">
        <is>
          <t>30/10/2026</t>
        </is>
      </c>
      <c r="J37" s="14" t="n">
        <v>1</v>
      </c>
      <c r="K37" s="13" t="inlineStr">
        <is>
          <t>un</t>
        </is>
      </c>
      <c r="L37" s="15" t="n">
        <v>60</v>
      </c>
      <c r="M37" s="16">
        <f>J37*L37</f>
        <v/>
      </c>
    </row>
    <row r="38">
      <c r="A38" s="13" t="inlineStr">
        <is>
          <t>Serviços</t>
        </is>
      </c>
      <c r="B38" s="13" t="inlineStr">
        <is>
          <t>Mão de obra de pintura</t>
        </is>
      </c>
      <c r="C38" s="13" t="inlineStr">
        <is>
          <t>Pintor c/ preparo (paredes + teto)</t>
        </is>
      </c>
      <c r="D38" s="13" t="inlineStr">
        <is>
          <t>Profissional local</t>
        </is>
      </c>
      <c r="E38" s="13" t="inlineStr">
        <is>
          <t>Faixa R$ 15–35/m² simples; R$ 35–60/m² com preparo (Lar Pontual) — https://larpontual.com.br/portal/preco-de-pintor-por-m2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Estimativa</t>
        </is>
      </c>
      <c r="I38" s="13" t="inlineStr">
        <is>
          <t>30/10/2026</t>
        </is>
      </c>
      <c r="J38" s="14">
        <f>area_pintura_total</f>
        <v/>
      </c>
      <c r="K38" s="13" t="inlineStr">
        <is>
          <t>m²</t>
        </is>
      </c>
      <c r="L38" s="15" t="n">
        <v>35</v>
      </c>
      <c r="M38" s="16">
        <f>J38*L38</f>
        <v/>
      </c>
    </row>
    <row r="39">
      <c r="A39" s="13" t="inlineStr">
        <is>
          <t>Serviços</t>
        </is>
      </c>
      <c r="B39" s="13" t="inlineStr">
        <is>
          <t>Instalação da iluminação</t>
        </is>
      </c>
      <c r="C39" s="13" t="inlineStr">
        <is>
          <t>Montagem das fitas/perfis/fonte (marceneiro ou eletricista)</t>
        </is>
      </c>
      <c r="D39" s="13" t="inlineStr">
        <is>
          <t>Profissional local</t>
        </is>
      </c>
      <c r="E39" s="13" t="inlineStr">
        <is>
          <t>Estimativa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Estimativa</t>
        </is>
      </c>
      <c r="I39" s="13" t="inlineStr">
        <is>
          <t>30/10/2026</t>
        </is>
      </c>
      <c r="J39" s="14" t="n">
        <v>1</v>
      </c>
      <c r="K39" s="13" t="inlineStr">
        <is>
          <t>vb</t>
        </is>
      </c>
      <c r="L39" s="15" t="n">
        <v>250</v>
      </c>
      <c r="M39" s="16">
        <f>J39*L39</f>
        <v/>
      </c>
    </row>
    <row r="40">
      <c r="A40" s="13" t="inlineStr">
        <is>
          <t>Serviços</t>
        </is>
      </c>
      <c r="B40" s="13" t="inlineStr">
        <is>
          <t>Frete (itens sem frete grátis)</t>
        </is>
      </c>
      <c r="C40" s="13" t="inlineStr">
        <is>
          <t>Reserva de frete</t>
        </is>
      </c>
      <c r="D40" s="13" t="inlineStr">
        <is>
          <t>—</t>
        </is>
      </c>
      <c r="E40" s="13" t="inlineStr">
        <is>
          <t>Estimativa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Estimativa</t>
        </is>
      </c>
      <c r="I40" s="13" t="inlineStr">
        <is>
          <t>30/10/2026</t>
        </is>
      </c>
      <c r="J40" s="14" t="n">
        <v>1</v>
      </c>
      <c r="K40" s="13" t="inlineStr">
        <is>
          <t>vb</t>
        </is>
      </c>
      <c r="L40" s="15" t="n">
        <v>200</v>
      </c>
      <c r="M40" s="16">
        <f>J40*L40</f>
        <v/>
      </c>
    </row>
    <row r="42">
      <c r="L42" s="4" t="inlineStr">
        <is>
          <t>Subtotal itens</t>
        </is>
      </c>
      <c r="M42" s="6">
        <f>SUM(M4:M40)</f>
        <v/>
      </c>
    </row>
    <row r="43">
      <c r="L43" s="4" t="inlineStr">
        <is>
          <t>Reserva para imprevistos</t>
        </is>
      </c>
      <c r="M43" s="6">
        <f>M42*contingencia</f>
        <v/>
      </c>
    </row>
    <row r="44">
      <c r="L44" s="4" t="inlineStr">
        <is>
          <t>TOTAL</t>
        </is>
      </c>
      <c r="M44" s="6">
        <f>M42+M43</f>
        <v/>
      </c>
    </row>
  </sheetData>
  <autoFilter ref="A3:M40"/>
  <hyperlinks>
    <hyperlink xmlns:r="http://schemas.openxmlformats.org/officeDocument/2006/relationships" ref="E4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5" r:id="rId17"/>
    <hyperlink xmlns:r="http://schemas.openxmlformats.org/officeDocument/2006/relationships" ref="E26" r:id="rId18"/>
    <hyperlink xmlns:r="http://schemas.openxmlformats.org/officeDocument/2006/relationships" ref="E27" r:id="rId19"/>
    <hyperlink xmlns:r="http://schemas.openxmlformats.org/officeDocument/2006/relationships" ref="E28" r:id="rId20"/>
    <hyperlink xmlns:r="http://schemas.openxmlformats.org/officeDocument/2006/relationships" ref="E29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58" customWidth="1" min="3" max="3"/>
    <col width="18" customWidth="1" min="4" max="4"/>
    <col width="48" customWidth="1" min="5" max="5"/>
    <col width="20" customWidth="1" min="6" max="6"/>
    <col width="18" customWidth="1" min="7" max="7"/>
    <col width="26" customWidth="1" min="8" max="8"/>
    <col width="11" customWidth="1" min="9" max="9"/>
    <col width="7" customWidth="1" min="10" max="10"/>
    <col width="7" customWidth="1" min="11" max="11"/>
    <col width="13" customWidth="1" min="12" max="12"/>
    <col width="14" customWidth="1" min="13" max="13"/>
  </cols>
  <sheetData>
    <row r="1">
      <c r="A1" s="7" t="inlineStr">
        <is>
          <t>Orçamento — cenário Premium  (preços consultados em 30/10/2026)</t>
        </is>
      </c>
    </row>
    <row r="3">
      <c r="A3" s="2" t="inlineStr">
        <is>
          <t>Categoria</t>
        </is>
      </c>
      <c r="B3" s="2" t="inlineStr">
        <is>
          <t>Item</t>
        </is>
      </c>
      <c r="C3" s="2" t="inlineStr">
        <is>
          <t>Produto / especificação</t>
        </is>
      </c>
      <c r="D3" s="2" t="inlineStr">
        <is>
          <t>Loja / fornecedor</t>
        </is>
      </c>
      <c r="E3" s="2" t="inlineStr">
        <is>
          <t>Link / fonte</t>
        </is>
      </c>
      <c r="F3" s="2" t="inlineStr">
        <is>
          <t>Dimensões L×P×A (cm)</t>
        </is>
      </c>
      <c r="G3" s="2" t="inlineStr">
        <is>
          <t>Material</t>
        </is>
      </c>
      <c r="H3" s="2" t="inlineStr">
        <is>
          <t>Status do preço</t>
        </is>
      </c>
      <c r="I3" s="2" t="inlineStr">
        <is>
          <t>Data</t>
        </is>
      </c>
      <c r="J3" s="2" t="inlineStr">
        <is>
          <t>Qtd</t>
        </is>
      </c>
      <c r="K3" s="2" t="inlineStr">
        <is>
          <t>Unid.</t>
        </is>
      </c>
      <c r="L3" s="2" t="inlineStr">
        <is>
          <t>Preço unit.</t>
        </is>
      </c>
      <c r="M3" s="2" t="inlineStr">
        <is>
          <t>Subtotal</t>
        </is>
      </c>
    </row>
    <row r="4">
      <c r="A4" s="8" t="inlineStr">
        <is>
          <t>Mobiliário</t>
        </is>
      </c>
      <c r="B4" s="8" t="inlineStr">
        <is>
          <t>Estrutura elétrica motor duplo</t>
        </is>
      </c>
      <c r="C4" s="8" t="inlineStr">
        <is>
          <t>Marsail motor duplo 120 kg, 71–118 cm, preta (Amazon Global — importação)</t>
        </is>
      </c>
      <c r="D4" s="8" t="inlineStr">
        <is>
          <t>Amazon</t>
        </is>
      </c>
      <c r="E4" s="9" t="inlineStr">
        <is>
          <t>https://www.amazon.com.br/dp/B0H45N1KWD</t>
        </is>
      </c>
      <c r="F4" s="8" t="inlineStr">
        <is>
          <t>tampos até 230 × 101</t>
        </is>
      </c>
      <c r="G4" s="8" t="inlineStr">
        <is>
          <t>Aço</t>
        </is>
      </c>
      <c r="H4" s="8" t="inlineStr">
        <is>
          <t>Pesquisado (página do produto)</t>
        </is>
      </c>
      <c r="I4" s="8" t="inlineStr">
        <is>
          <t>30/10/2026</t>
        </is>
      </c>
      <c r="J4" s="10" t="n">
        <v>1</v>
      </c>
      <c r="K4" s="8" t="inlineStr">
        <is>
          <t>un</t>
        </is>
      </c>
      <c r="L4" s="11" t="n">
        <v>2020.64</v>
      </c>
      <c r="M4" s="12">
        <f>J4*L4</f>
        <v/>
      </c>
    </row>
    <row r="5">
      <c r="A5" s="13" t="inlineStr">
        <is>
          <t>Mobiliário</t>
        </is>
      </c>
      <c r="B5" s="13" t="inlineStr">
        <is>
          <t>Tampo sob medida</t>
        </is>
      </c>
      <c r="C5" s="13" t="inlineStr">
        <is>
          <t>Tampo 30 mm lâmina natural freijó 170×70, borda maciça, furo p/ braço</t>
        </is>
      </c>
      <c r="D5" s="13" t="inlineStr">
        <is>
          <t>Marceneiro local</t>
        </is>
      </c>
      <c r="E5" s="13" t="inlineStr">
        <is>
          <t>Estimativa</t>
        </is>
      </c>
      <c r="F5" s="13" t="inlineStr">
        <is>
          <t>170 × 70 × 3</t>
        </is>
      </c>
      <c r="G5" s="13" t="inlineStr">
        <is>
          <t>MDF + lâmina natural</t>
        </is>
      </c>
      <c r="H5" s="13" t="inlineStr">
        <is>
          <t>Estimativa</t>
        </is>
      </c>
      <c r="I5" s="13" t="inlineStr">
        <is>
          <t>30/10/2026</t>
        </is>
      </c>
      <c r="J5" s="14" t="n">
        <v>1</v>
      </c>
      <c r="K5" s="13" t="inlineStr">
        <is>
          <t>un</t>
        </is>
      </c>
      <c r="L5" s="15" t="n">
        <v>1100</v>
      </c>
      <c r="M5" s="16">
        <f>J5*L5</f>
        <v/>
      </c>
    </row>
    <row r="6">
      <c r="A6" s="8" t="inlineStr">
        <is>
          <t>Mobiliário</t>
        </is>
      </c>
      <c r="B6" s="8" t="inlineStr">
        <is>
          <t>Cadeira ergonômica</t>
        </is>
      </c>
      <c r="C6" s="8" t="inlineStr">
        <is>
          <t>DT3 Ergonomie Preto 14435-7</t>
        </is>
      </c>
      <c r="D6" s="8" t="inlineStr">
        <is>
          <t>Pichau</t>
        </is>
      </c>
      <c r="E6" s="9" t="inlineStr">
        <is>
          <t>https://www.pichau.com.br/cadeira-ergonomica-dt3-ergonomie-preto-14435-7</t>
        </is>
      </c>
      <c r="F6" s="8" t="inlineStr">
        <is>
          <t>não declarada (est. 70 × 70)</t>
        </is>
      </c>
      <c r="G6" s="8" t="inlineStr">
        <is>
          <t>Tela</t>
        </is>
      </c>
      <c r="H6" s="8" t="inlineStr">
        <is>
          <t>Pesquisado (listagem da loja)</t>
        </is>
      </c>
      <c r="I6" s="8" t="inlineStr">
        <is>
          <t>30/10/2026</t>
        </is>
      </c>
      <c r="J6" s="10" t="n">
        <v>1</v>
      </c>
      <c r="K6" s="8" t="inlineStr">
        <is>
          <t>un</t>
        </is>
      </c>
      <c r="L6" s="11" t="n">
        <v>2599.99</v>
      </c>
      <c r="M6" s="12">
        <f>J6*L6</f>
        <v/>
      </c>
    </row>
    <row r="7">
      <c r="A7" s="8" t="inlineStr">
        <is>
          <t>Mobiliário</t>
        </is>
      </c>
      <c r="B7" s="8" t="inlineStr">
        <is>
          <t>Cama box baú + colchão solteiro</t>
        </is>
      </c>
      <c r="C7" s="8" t="inlineStr">
        <is>
          <t>Inducol Real molas ensacadas, box baú (armazenamento)</t>
        </is>
      </c>
      <c r="D7" s="8" t="inlineStr">
        <is>
          <t>Amazon</t>
        </is>
      </c>
      <c r="E7" s="9" t="inlineStr">
        <is>
          <t>https://www.amazon.com.br/dp/B0D54VM511</t>
        </is>
      </c>
      <c r="F7" s="8" t="inlineStr">
        <is>
          <t>88 × 188 × 68</t>
        </is>
      </c>
      <c r="G7" s="8" t="inlineStr">
        <is>
          <t>Molas ensacadas</t>
        </is>
      </c>
      <c r="H7" s="8" t="inlineStr">
        <is>
          <t>Pesquisado (listagem da loja)</t>
        </is>
      </c>
      <c r="I7" s="8" t="inlineStr">
        <is>
          <t>30/10/2026</t>
        </is>
      </c>
      <c r="J7" s="10" t="n">
        <v>1</v>
      </c>
      <c r="K7" s="8" t="inlineStr">
        <is>
          <t>un</t>
        </is>
      </c>
      <c r="L7" s="11" t="n">
        <v>1169.1</v>
      </c>
      <c r="M7" s="12">
        <f>J7*L7</f>
        <v/>
      </c>
    </row>
    <row r="8">
      <c r="A8" s="8" t="inlineStr">
        <is>
          <t>Mobiliário</t>
        </is>
      </c>
      <c r="B8" s="8" t="inlineStr">
        <is>
          <t>Braço articulado 2 monitores</t>
        </is>
      </c>
      <c r="C8" s="8" t="inlineStr">
        <is>
          <t>ELG F196dp 17–35" grafite, c/ cabo DisplayPort</t>
        </is>
      </c>
      <c r="D8" s="8" t="inlineStr">
        <is>
          <t>Amazon</t>
        </is>
      </c>
      <c r="E8" s="9" t="inlineStr">
        <is>
          <t>https://www.amazon.com.br/dp/B0HKLNT1LN</t>
        </is>
      </c>
      <c r="F8" s="8" t="inlineStr">
        <is>
          <t>—</t>
        </is>
      </c>
      <c r="G8" s="8" t="inlineStr">
        <is>
          <t>Aço/alumínio</t>
        </is>
      </c>
      <c r="H8" s="8" t="inlineStr">
        <is>
          <t>Pesquisado (listagem da loja)</t>
        </is>
      </c>
      <c r="I8" s="8" t="inlineStr">
        <is>
          <t>30/10/2026</t>
        </is>
      </c>
      <c r="J8" s="10" t="n">
        <v>1</v>
      </c>
      <c r="K8" s="8" t="inlineStr">
        <is>
          <t>un</t>
        </is>
      </c>
      <c r="L8" s="11" t="n">
        <v>284.99</v>
      </c>
      <c r="M8" s="12">
        <f>J8*L8</f>
        <v/>
      </c>
    </row>
    <row r="9">
      <c r="A9" s="13" t="inlineStr">
        <is>
          <t>Marcenaria</t>
        </is>
      </c>
      <c r="B9" s="13" t="inlineStr">
        <is>
          <t>Painel ripado Parede D (piso→teto)</t>
        </is>
      </c>
      <c r="C9" s="13" t="inlineStr">
        <is>
          <t>Ripado em lâmina natural freijó + fundo preto, instalado</t>
        </is>
      </c>
      <c r="D9" s="13" t="inlineStr">
        <is>
          <t>Marceneiro local</t>
        </is>
      </c>
      <c r="E9" s="13" t="inlineStr">
        <is>
          <t>Faixa R$ 250–600/m² instalado (Revista Oeste); R$ 180–750/m² (Monitor do Mercado) — https://monitordomercado.com.br/economia-2/385193-quanto-custa-instalar-painel-ripado-e-transformar-a-sala-com-um-visual-moderno-e-sofisticado/</t>
        </is>
      </c>
      <c r="F9" s="13" t="inlineStr">
        <is>
          <t>265 × 3 × 264</t>
        </is>
      </c>
      <c r="G9" s="13" t="inlineStr">
        <is>
          <t>Lâmina natural</t>
        </is>
      </c>
      <c r="H9" s="13" t="inlineStr">
        <is>
          <t>Estimativa</t>
        </is>
      </c>
      <c r="I9" s="13" t="inlineStr">
        <is>
          <t>30/10/2026</t>
        </is>
      </c>
      <c r="J9" s="14">
        <f>area_ripado</f>
        <v/>
      </c>
      <c r="K9" s="13" t="inlineStr">
        <is>
          <t>m²</t>
        </is>
      </c>
      <c r="L9" s="15" t="n">
        <v>600</v>
      </c>
      <c r="M9" s="16">
        <f>J9*L9</f>
        <v/>
      </c>
    </row>
    <row r="10">
      <c r="A10" s="13" t="inlineStr">
        <is>
          <t>Marcenaria</t>
        </is>
      </c>
      <c r="B10" s="13" t="inlineStr">
        <is>
          <t>Prateleira sobre a mesa</t>
        </is>
      </c>
      <c r="C10" s="13" t="inlineStr">
        <is>
          <t>Prateleira lâmina natural 170×25 c/ LED embutido, h = 1,95 m</t>
        </is>
      </c>
      <c r="D10" s="13" t="inlineStr">
        <is>
          <t>Marceneiro local</t>
        </is>
      </c>
      <c r="E10" s="13" t="inlineStr">
        <is>
          <t>Estimativa</t>
        </is>
      </c>
      <c r="F10" s="13" t="inlineStr">
        <is>
          <t>170 × 25 × 3</t>
        </is>
      </c>
      <c r="G10" s="13" t="inlineStr">
        <is>
          <t>Lâmina natural</t>
        </is>
      </c>
      <c r="H10" s="13" t="inlineStr">
        <is>
          <t>Estimativa</t>
        </is>
      </c>
      <c r="I10" s="13" t="inlineStr">
        <is>
          <t>30/10/2026</t>
        </is>
      </c>
      <c r="J10" s="14" t="n">
        <v>1</v>
      </c>
      <c r="K10" s="13" t="inlineStr">
        <is>
          <t>un</t>
        </is>
      </c>
      <c r="L10" s="15" t="n">
        <v>800</v>
      </c>
      <c r="M10" s="16">
        <f>J10*L10</f>
        <v/>
      </c>
    </row>
    <row r="11">
      <c r="A11" s="13" t="inlineStr">
        <is>
          <t>Marcenaria</t>
        </is>
      </c>
      <c r="B11" s="13" t="inlineStr">
        <is>
          <t>Nichos iluminados 3× (cabeceira)</t>
        </is>
      </c>
      <c r="C11" s="13" t="inlineStr">
        <is>
          <t>Lâmina natural freijó, fundo preto, LED embutido</t>
        </is>
      </c>
      <c r="D11" s="13" t="inlineStr">
        <is>
          <t>Marceneiro local</t>
        </is>
      </c>
      <c r="E11" s="13" t="inlineStr">
        <is>
          <t>Estimativa</t>
        </is>
      </c>
      <c r="F11" s="13" t="inlineStr">
        <is>
          <t>3 × (24 × 26 × 16)</t>
        </is>
      </c>
      <c r="G11" s="13" t="inlineStr">
        <is>
          <t>Lâmina natural</t>
        </is>
      </c>
      <c r="H11" s="13" t="inlineStr">
        <is>
          <t>Estimativa</t>
        </is>
      </c>
      <c r="I11" s="13" t="inlineStr">
        <is>
          <t>30/10/2026</t>
        </is>
      </c>
      <c r="J11" s="14" t="n">
        <v>1</v>
      </c>
      <c r="K11" s="13" t="inlineStr">
        <is>
          <t>vb</t>
        </is>
      </c>
      <c r="L11" s="15" t="n">
        <v>700</v>
      </c>
      <c r="M11" s="16">
        <f>J11*L11</f>
        <v/>
      </c>
    </row>
    <row r="12">
      <c r="A12" s="8" t="inlineStr">
        <is>
          <t>Iluminação</t>
        </is>
      </c>
      <c r="B12" s="8" t="inlineStr">
        <is>
          <t>Fita LED COB 3000 K</t>
        </is>
      </c>
      <c r="C12" s="8" t="inlineStr">
        <is>
          <t>Stella All Light Pro 16W/m 24V COB 3000K IRC 95+ 5 m</t>
        </is>
      </c>
      <c r="D12" s="8" t="inlineStr">
        <is>
          <t>Amazon</t>
        </is>
      </c>
      <c r="E12" s="9" t="inlineStr">
        <is>
          <t>https://www.amazon.com.br/dp/B0F7ZGD3M2</t>
        </is>
      </c>
      <c r="F12" s="8" t="inlineStr">
        <is>
          <t>5 m</t>
        </is>
      </c>
      <c r="G12" s="8" t="inlineStr">
        <is>
          <t>—</t>
        </is>
      </c>
      <c r="H12" s="8" t="inlineStr">
        <is>
          <t>Pesquisado (listagem da loja)</t>
        </is>
      </c>
      <c r="I12" s="8" t="inlineStr">
        <is>
          <t>30/10/2026</t>
        </is>
      </c>
      <c r="J12" s="10">
        <f>rolos_led_prem</f>
        <v/>
      </c>
      <c r="K12" s="8" t="inlineStr">
        <is>
          <t>rolo</t>
        </is>
      </c>
      <c r="L12" s="11" t="n">
        <v>200.69</v>
      </c>
      <c r="M12" s="12">
        <f>J12*L12</f>
        <v/>
      </c>
    </row>
    <row r="13">
      <c r="A13" s="8" t="inlineStr">
        <is>
          <t>Iluminação</t>
        </is>
      </c>
      <c r="B13" s="8" t="inlineStr">
        <is>
          <t>Fonte 24 V</t>
        </is>
      </c>
      <c r="C13" s="8" t="inlineStr">
        <is>
          <t>Fonte chaveada slim 24V 5A 120W bivolt</t>
        </is>
      </c>
      <c r="D13" s="8" t="inlineStr">
        <is>
          <t>Amazon</t>
        </is>
      </c>
      <c r="E13" s="9" t="inlineStr">
        <is>
          <t>https://www.amazon.com.br/dp/B0H7CQ2BY2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Pesquisado (listagem da loja)</t>
        </is>
      </c>
      <c r="I13" s="8" t="inlineStr">
        <is>
          <t>30/10/2026</t>
        </is>
      </c>
      <c r="J13" s="10" t="n">
        <v>2</v>
      </c>
      <c r="K13" s="8" t="inlineStr">
        <is>
          <t>un</t>
        </is>
      </c>
      <c r="L13" s="11" t="n">
        <v>61.99</v>
      </c>
      <c r="M13" s="12">
        <f>J13*L13</f>
        <v/>
      </c>
    </row>
    <row r="14">
      <c r="A14" s="8" t="inlineStr">
        <is>
          <t>Iluminação</t>
        </is>
      </c>
      <c r="B14" s="8" t="inlineStr">
        <is>
          <t>Perfil de alumínio p/ LED</t>
        </is>
      </c>
      <c r="C14" s="8" t="inlineStr">
        <is>
          <t>Perfil LED embutir 24×7 mm slim 2 m preto</t>
        </is>
      </c>
      <c r="D14" s="8" t="inlineStr">
        <is>
          <t>Amazon</t>
        </is>
      </c>
      <c r="E14" s="9" t="inlineStr">
        <is>
          <t>https://www.amazon.com.br/dp/B0F1ZBZZTP</t>
        </is>
      </c>
      <c r="F14" s="8" t="inlineStr">
        <is>
          <t>200 cm</t>
        </is>
      </c>
      <c r="G14" s="8" t="inlineStr">
        <is>
          <t>Alumínio</t>
        </is>
      </c>
      <c r="H14" s="8" t="inlineStr">
        <is>
          <t>Pesquisado (listagem da loja)</t>
        </is>
      </c>
      <c r="I14" s="8" t="inlineStr">
        <is>
          <t>30/10/2026</t>
        </is>
      </c>
      <c r="J14" s="10">
        <f>barras_perfil_prem</f>
        <v/>
      </c>
      <c r="K14" s="8" t="inlineStr">
        <is>
          <t>barra</t>
        </is>
      </c>
      <c r="L14" s="11" t="n">
        <v>29.9</v>
      </c>
      <c r="M14" s="12">
        <f>J14*L14</f>
        <v/>
      </c>
    </row>
    <row r="15">
      <c r="A15" s="8" t="inlineStr">
        <is>
          <t>Iluminação</t>
        </is>
      </c>
      <c r="B15" s="8" t="inlineStr">
        <is>
          <t>Controle Wi-Fi da fita</t>
        </is>
      </c>
      <c r="C15" s="8" t="inlineStr">
        <is>
          <t>Controlador Wi-Fi c/ dimmer (Alexa/Google)</t>
        </is>
      </c>
      <c r="D15" s="8" t="inlineStr">
        <is>
          <t>Amazon</t>
        </is>
      </c>
      <c r="E15" s="9" t="inlineStr">
        <is>
          <t>https://www.amazon.com.br/dp/B0FS91PKKL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Pesquisado (listagem da loja)</t>
        </is>
      </c>
      <c r="I15" s="8" t="inlineStr">
        <is>
          <t>30/10/2026</t>
        </is>
      </c>
      <c r="J15" s="10" t="n">
        <v>2</v>
      </c>
      <c r="K15" s="8" t="inlineStr">
        <is>
          <t>un</t>
        </is>
      </c>
      <c r="L15" s="11" t="n">
        <v>43.02</v>
      </c>
      <c r="M15" s="12">
        <f>J15*L15</f>
        <v/>
      </c>
    </row>
    <row r="16">
      <c r="A16" s="8" t="inlineStr">
        <is>
          <t>Iluminação</t>
        </is>
      </c>
      <c r="B16" s="8" t="inlineStr">
        <is>
          <t>Barra de luz p/ monitor</t>
        </is>
      </c>
      <c r="C16" s="8" t="inlineStr">
        <is>
          <t>BenQ ScreenBar Pro (sensor de presença)</t>
        </is>
      </c>
      <c r="D16" s="8" t="inlineStr">
        <is>
          <t>Amazon</t>
        </is>
      </c>
      <c r="E16" s="9" t="inlineStr">
        <is>
          <t>https://www.amazon.com.br/dp/B0CZ9P1QW9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Pesquisado (listagem da loja)</t>
        </is>
      </c>
      <c r="I16" s="8" t="inlineStr">
        <is>
          <t>30/10/2026</t>
        </is>
      </c>
      <c r="J16" s="10" t="n">
        <v>1</v>
      </c>
      <c r="K16" s="8" t="inlineStr">
        <is>
          <t>un</t>
        </is>
      </c>
      <c r="L16" s="11" t="n">
        <v>1389.2</v>
      </c>
      <c r="M16" s="12">
        <f>J16*L16</f>
        <v/>
      </c>
    </row>
    <row r="17">
      <c r="A17" s="8" t="inlineStr">
        <is>
          <t>Iluminação</t>
        </is>
      </c>
      <c r="B17" s="8" t="inlineStr">
        <is>
          <t>Arandela da cama</t>
        </is>
      </c>
      <c r="C17" s="8" t="inlineStr">
        <is>
          <t>GOODATE arandela plug-in c/ interruptor regulável, braço oscilante</t>
        </is>
      </c>
      <c r="D17" s="8" t="inlineStr">
        <is>
          <t>Amazon</t>
        </is>
      </c>
      <c r="E17" s="9" t="inlineStr">
        <is>
          <t>https://www.amazon.com.br/dp/B094QSBVNB</t>
        </is>
      </c>
      <c r="F17" s="8" t="inlineStr">
        <is>
          <t>—</t>
        </is>
      </c>
      <c r="G17" s="8" t="inlineStr">
        <is>
          <t>Metal</t>
        </is>
      </c>
      <c r="H17" s="8" t="inlineStr">
        <is>
          <t>Pesquisado (listagem da loja)</t>
        </is>
      </c>
      <c r="I17" s="8" t="inlineStr">
        <is>
          <t>30/10/2026</t>
        </is>
      </c>
      <c r="J17" s="10" t="n">
        <v>1</v>
      </c>
      <c r="K17" s="8" t="inlineStr">
        <is>
          <t>un</t>
        </is>
      </c>
      <c r="L17" s="11" t="n">
        <v>344.79</v>
      </c>
      <c r="M17" s="12">
        <f>J17*L17</f>
        <v/>
      </c>
    </row>
    <row r="18">
      <c r="A18" s="8" t="inlineStr">
        <is>
          <t>Iluminação</t>
        </is>
      </c>
      <c r="B18" s="8" t="inlineStr">
        <is>
          <t>Lâmpadas 3000 K (ventilador/teto)</t>
        </is>
      </c>
      <c r="C18" s="8" t="inlineStr">
        <is>
          <t>LEDVANCE OSRAM CLA60 9W 3000K E27 (kit 10)</t>
        </is>
      </c>
      <c r="D18" s="8" t="inlineStr">
        <is>
          <t>Amazon</t>
        </is>
      </c>
      <c r="E18" s="9" t="inlineStr">
        <is>
          <t>https://www.amazon.com.br/dp/B0HNY3SPM6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Pesquisado (listagem da loja)</t>
        </is>
      </c>
      <c r="I18" s="8" t="inlineStr">
        <is>
          <t>30/10/2026</t>
        </is>
      </c>
      <c r="J18" s="10" t="n">
        <v>1</v>
      </c>
      <c r="K18" s="8" t="inlineStr">
        <is>
          <t>kit</t>
        </is>
      </c>
      <c r="L18" s="11" t="n">
        <v>69.90000000000001</v>
      </c>
      <c r="M18" s="12">
        <f>J18*L18</f>
        <v/>
      </c>
    </row>
    <row r="19">
      <c r="A19" s="8" t="inlineStr">
        <is>
          <t>Pintura</t>
        </is>
      </c>
      <c r="B19" s="8" t="inlineStr">
        <is>
          <t>Tinta paredes (grafite)</t>
        </is>
      </c>
      <c r="C19" s="8" t="inlineStr">
        <is>
          <t>Suvinil Toque de Seda acetinado 3,6 L — preço da base branca; cor em loja (conferir)</t>
        </is>
      </c>
      <c r="D19" s="8" t="inlineStr">
        <is>
          <t>Amazon</t>
        </is>
      </c>
      <c r="E19" s="9" t="inlineStr">
        <is>
          <t>https://www.amazon.com.br/dp/B077G8JCN6</t>
        </is>
      </c>
      <c r="F19" s="8" t="inlineStr">
        <is>
          <t>3,6 L</t>
        </is>
      </c>
      <c r="G19" s="8" t="inlineStr">
        <is>
          <t>Acrílica acetinada</t>
        </is>
      </c>
      <c r="H19" s="8" t="inlineStr">
        <is>
          <t>Pesquisado (listagem da loja)</t>
        </is>
      </c>
      <c r="I19" s="8" t="inlineStr">
        <is>
          <t>30/10/2026</t>
        </is>
      </c>
      <c r="J19" s="10">
        <f>galoes_parede</f>
        <v/>
      </c>
      <c r="K19" s="8" t="inlineStr">
        <is>
          <t>galão</t>
        </is>
      </c>
      <c r="L19" s="11" t="n">
        <v>206.1</v>
      </c>
      <c r="M19" s="12">
        <f>J19*L19</f>
        <v/>
      </c>
    </row>
    <row r="20">
      <c r="A20" s="8" t="inlineStr">
        <is>
          <t>Pintura</t>
        </is>
      </c>
      <c r="B20" s="8" t="inlineStr">
        <is>
          <t>Tinta teto (branco)</t>
        </is>
      </c>
      <c r="C20" s="8" t="inlineStr">
        <is>
          <t>Suvinil acrílica fosca para teto Branco Neve 3,6 L</t>
        </is>
      </c>
      <c r="D20" s="8" t="inlineStr">
        <is>
          <t>Amazon</t>
        </is>
      </c>
      <c r="E20" s="9" t="inlineStr">
        <is>
          <t>https://www.amazon.com.br/dp/B077G6GQSP</t>
        </is>
      </c>
      <c r="F20" s="8" t="inlineStr">
        <is>
          <t>3,6 L</t>
        </is>
      </c>
      <c r="G20" s="8" t="inlineStr">
        <is>
          <t>Acrílica</t>
        </is>
      </c>
      <c r="H20" s="8" t="inlineStr">
        <is>
          <t>Pesquisado (listagem da loja)</t>
        </is>
      </c>
      <c r="I20" s="8" t="inlineStr">
        <is>
          <t>30/10/2026</t>
        </is>
      </c>
      <c r="J20" s="10">
        <f>galoes_teto</f>
        <v/>
      </c>
      <c r="K20" s="8" t="inlineStr">
        <is>
          <t>galão</t>
        </is>
      </c>
      <c r="L20" s="11" t="n">
        <v>171</v>
      </c>
      <c r="M20" s="12">
        <f>J20*L20</f>
        <v/>
      </c>
    </row>
    <row r="21">
      <c r="A21" s="8" t="inlineStr">
        <is>
          <t>Pintura</t>
        </is>
      </c>
      <c r="B21" s="8" t="inlineStr">
        <is>
          <t>Selador acrílico</t>
        </is>
      </c>
      <c r="C21" s="8" t="inlineStr">
        <is>
          <t>Selador acrílico 3,6 L</t>
        </is>
      </c>
      <c r="D21" s="8" t="inlineStr">
        <is>
          <t>Amazon</t>
        </is>
      </c>
      <c r="E21" s="9" t="inlineStr">
        <is>
          <t>https://www.amazon.com.br/dp/B0HCR49N2B</t>
        </is>
      </c>
      <c r="F21" s="8" t="inlineStr">
        <is>
          <t>3,6 L</t>
        </is>
      </c>
      <c r="G21" s="8" t="inlineStr">
        <is>
          <t>—</t>
        </is>
      </c>
      <c r="H21" s="8" t="inlineStr">
        <is>
          <t>Pesquisado (listagem da loja)</t>
        </is>
      </c>
      <c r="I21" s="8" t="inlineStr">
        <is>
          <t>30/10/2026</t>
        </is>
      </c>
      <c r="J21" s="10" t="n">
        <v>1</v>
      </c>
      <c r="K21" s="8" t="inlineStr">
        <is>
          <t>galão</t>
        </is>
      </c>
      <c r="L21" s="11" t="n">
        <v>40.4</v>
      </c>
      <c r="M21" s="12">
        <f>J21*L21</f>
        <v/>
      </c>
    </row>
    <row r="22">
      <c r="A22" s="8" t="inlineStr">
        <is>
          <t>Pintura</t>
        </is>
      </c>
      <c r="B22" s="8" t="inlineStr">
        <is>
          <t>Kit pintura</t>
        </is>
      </c>
      <c r="C22" s="8" t="inlineStr">
        <is>
          <t>Kit anti-gotas rolos 23/9 cm, bandeja, suporte e trincha</t>
        </is>
      </c>
      <c r="D22" s="8" t="inlineStr">
        <is>
          <t>Amazon</t>
        </is>
      </c>
      <c r="E22" s="9" t="inlineStr">
        <is>
          <t>https://www.amazon.com.br/dp/B0H6CMVSRL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Pesquisado (listagem da loja)</t>
        </is>
      </c>
      <c r="I22" s="8" t="inlineStr">
        <is>
          <t>30/10/2026</t>
        </is>
      </c>
      <c r="J22" s="10" t="n">
        <v>1</v>
      </c>
      <c r="K22" s="8" t="inlineStr">
        <is>
          <t>kit</t>
        </is>
      </c>
      <c r="L22" s="11" t="n">
        <v>31.99</v>
      </c>
      <c r="M22" s="12">
        <f>J22*L22</f>
        <v/>
      </c>
    </row>
    <row r="23">
      <c r="A23" s="8" t="inlineStr">
        <is>
          <t>Pintura</t>
        </is>
      </c>
      <c r="B23" s="8" t="inlineStr">
        <is>
          <t>Fita crepe</t>
        </is>
      </c>
      <c r="C23" s="8" t="inlineStr">
        <is>
          <t>Kit 2 fitas crepe 48 mm × 50 m</t>
        </is>
      </c>
      <c r="D23" s="8" t="inlineStr">
        <is>
          <t>Amazon</t>
        </is>
      </c>
      <c r="E23" s="9" t="inlineStr">
        <is>
          <t>https://www.amazon.com.br/dp/B0H8BCLC4J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Pesquisado (listagem da loja)</t>
        </is>
      </c>
      <c r="I23" s="8" t="inlineStr">
        <is>
          <t>30/10/2026</t>
        </is>
      </c>
      <c r="J23" s="10" t="n">
        <v>1</v>
      </c>
      <c r="K23" s="8" t="inlineStr">
        <is>
          <t>kit</t>
        </is>
      </c>
      <c r="L23" s="11" t="n">
        <v>29.8</v>
      </c>
      <c r="M23" s="12">
        <f>J23*L23</f>
        <v/>
      </c>
    </row>
    <row r="24">
      <c r="A24" s="8" t="inlineStr">
        <is>
          <t>Pintura</t>
        </is>
      </c>
      <c r="B24" s="8" t="inlineStr">
        <is>
          <t>Proteção de piso/móveis</t>
        </is>
      </c>
      <c r="C24" s="8" t="inlineStr">
        <is>
          <t>Lona protetora c/ fita 1,5 × 10 m</t>
        </is>
      </c>
      <c r="D24" s="8" t="inlineStr">
        <is>
          <t>Amazon</t>
        </is>
      </c>
      <c r="E24" s="9" t="inlineStr">
        <is>
          <t>https://www.amazon.com.br/dp/B0GVPX4YVY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Pesquisado (listagem da loja)</t>
        </is>
      </c>
      <c r="I24" s="8" t="inlineStr">
        <is>
          <t>30/10/2026</t>
        </is>
      </c>
      <c r="J24" s="10" t="n">
        <v>1</v>
      </c>
      <c r="K24" s="8" t="inlineStr">
        <is>
          <t>un</t>
        </is>
      </c>
      <c r="L24" s="11" t="n">
        <v>15.9</v>
      </c>
      <c r="M24" s="12">
        <f>J24*L24</f>
        <v/>
      </c>
    </row>
    <row r="25">
      <c r="A25" s="13" t="inlineStr">
        <is>
          <t>Pintura</t>
        </is>
      </c>
      <c r="B25" s="13" t="inlineStr">
        <is>
          <t>Massa/reparos</t>
        </is>
      </c>
      <c r="C25" s="13" t="inlineStr">
        <is>
          <t>Massa corrida + lixa</t>
        </is>
      </c>
      <c r="D25" s="13" t="inlineStr">
        <is>
          <t>—</t>
        </is>
      </c>
      <c r="E25" s="13" t="inlineStr">
        <is>
          <t>Estimativa</t>
        </is>
      </c>
      <c r="F25" s="13" t="inlineStr">
        <is>
          <t>—</t>
        </is>
      </c>
      <c r="G25" s="13" t="inlineStr">
        <is>
          <t>—</t>
        </is>
      </c>
      <c r="H25" s="13" t="inlineStr">
        <is>
          <t>Estimativa</t>
        </is>
      </c>
      <c r="I25" s="13" t="inlineStr">
        <is>
          <t>30/10/2026</t>
        </is>
      </c>
      <c r="J25" s="14" t="n">
        <v>1</v>
      </c>
      <c r="K25" s="13" t="inlineStr">
        <is>
          <t>vb</t>
        </is>
      </c>
      <c r="L25" s="15" t="n">
        <v>90</v>
      </c>
      <c r="M25" s="16">
        <f>J25*L25</f>
        <v/>
      </c>
    </row>
    <row r="26">
      <c r="A26" s="8" t="inlineStr">
        <is>
          <t>Complementares</t>
        </is>
      </c>
      <c r="B26" s="8" t="inlineStr">
        <is>
          <t>Tapete</t>
        </is>
      </c>
      <c r="C26" s="8" t="inlineStr">
        <is>
          <t>Tapete pelo baixo c/ relevo cinza escuro 2,00 × 1,40</t>
        </is>
      </c>
      <c r="D26" s="8" t="inlineStr">
        <is>
          <t>Amazon</t>
        </is>
      </c>
      <c r="E26" s="9" t="inlineStr">
        <is>
          <t>https://www.amazon.com.br/dp/B0GXCDQG6W</t>
        </is>
      </c>
      <c r="F26" s="8" t="inlineStr">
        <is>
          <t>140 × 200</t>
        </is>
      </c>
      <c r="G26" s="8" t="inlineStr">
        <is>
          <t>Sintético</t>
        </is>
      </c>
      <c r="H26" s="8" t="inlineStr">
        <is>
          <t>Pesquisado (listagem da loja)</t>
        </is>
      </c>
      <c r="I26" s="8" t="inlineStr">
        <is>
          <t>30/10/2026</t>
        </is>
      </c>
      <c r="J26" s="10" t="n">
        <v>1</v>
      </c>
      <c r="K26" s="8" t="inlineStr">
        <is>
          <t>un</t>
        </is>
      </c>
      <c r="L26" s="11" t="n">
        <v>142.4</v>
      </c>
      <c r="M26" s="12">
        <f>J26*L26</f>
        <v/>
      </c>
    </row>
    <row r="27">
      <c r="A27" s="8" t="inlineStr">
        <is>
          <t>Complementares</t>
        </is>
      </c>
      <c r="B27" s="8" t="inlineStr">
        <is>
          <t>Filtro de linha c/ DPS</t>
        </is>
      </c>
      <c r="C27" s="8" t="inlineStr">
        <is>
          <t>iCLAMPER Energia 5 tomadas</t>
        </is>
      </c>
      <c r="D27" s="8" t="inlineStr">
        <is>
          <t>Amazon</t>
        </is>
      </c>
      <c r="E27" s="9" t="inlineStr">
        <is>
          <t>https://www.amazon.com.br/dp/B0D8V17JSG</t>
        </is>
      </c>
      <c r="F27" s="8" t="inlineStr">
        <is>
          <t>—</t>
        </is>
      </c>
      <c r="G27" s="8" t="inlineStr">
        <is>
          <t>—</t>
        </is>
      </c>
      <c r="H27" s="8" t="inlineStr">
        <is>
          <t>Pesquisado (listagem da loja)</t>
        </is>
      </c>
      <c r="I27" s="8" t="inlineStr">
        <is>
          <t>30/10/2026</t>
        </is>
      </c>
      <c r="J27" s="10" t="n">
        <v>1</v>
      </c>
      <c r="K27" s="8" t="inlineStr">
        <is>
          <t>un</t>
        </is>
      </c>
      <c r="L27" s="11" t="n">
        <v>71.98</v>
      </c>
      <c r="M27" s="12">
        <f>J27*L27</f>
        <v/>
      </c>
    </row>
    <row r="28">
      <c r="A28" s="8" t="inlineStr">
        <is>
          <t>Complementares</t>
        </is>
      </c>
      <c r="B28" s="8" t="inlineStr">
        <is>
          <t>Prolongador da tomada (ripado)</t>
        </is>
      </c>
      <c r="C28" s="8" t="inlineStr">
        <is>
          <t>Margirius prolongador caixa 4×2</t>
        </is>
      </c>
      <c r="D28" s="8" t="inlineStr">
        <is>
          <t>Amazon</t>
        </is>
      </c>
      <c r="E28" s="9" t="inlineStr">
        <is>
          <t>https://www.amazon.com.br/dp/B089M44PPG</t>
        </is>
      </c>
      <c r="F28" s="8" t="inlineStr">
        <is>
          <t>—</t>
        </is>
      </c>
      <c r="G28" s="8" t="inlineStr">
        <is>
          <t>—</t>
        </is>
      </c>
      <c r="H28" s="8" t="inlineStr">
        <is>
          <t>Pesquisado (listagem da loja)</t>
        </is>
      </c>
      <c r="I28" s="8" t="inlineStr">
        <is>
          <t>30/10/2026</t>
        </is>
      </c>
      <c r="J28" s="10" t="n">
        <v>1</v>
      </c>
      <c r="K28" s="8" t="inlineStr">
        <is>
          <t>un</t>
        </is>
      </c>
      <c r="L28" s="11" t="n">
        <v>23.27</v>
      </c>
      <c r="M28" s="12">
        <f>J28*L28</f>
        <v/>
      </c>
    </row>
    <row r="29">
      <c r="A29" s="8" t="inlineStr">
        <is>
          <t>Complementares</t>
        </is>
      </c>
      <c r="B29" s="8" t="inlineStr">
        <is>
          <t>Suporte de notebook</t>
        </is>
      </c>
      <c r="C29" s="8" t="inlineStr">
        <is>
          <t>Suporte aço carbono base giratória 360°</t>
        </is>
      </c>
      <c r="D29" s="8" t="inlineStr">
        <is>
          <t>Amazon</t>
        </is>
      </c>
      <c r="E29" s="9" t="inlineStr">
        <is>
          <t>https://www.amazon.com.br/dp/B0HFNYSZHZ</t>
        </is>
      </c>
      <c r="F29" s="8" t="inlineStr">
        <is>
          <t>—</t>
        </is>
      </c>
      <c r="G29" s="8" t="inlineStr">
        <is>
          <t>Aço</t>
        </is>
      </c>
      <c r="H29" s="8" t="inlineStr">
        <is>
          <t>Pesquisado (listagem da loja)</t>
        </is>
      </c>
      <c r="I29" s="8" t="inlineStr">
        <is>
          <t>30/10/2026</t>
        </is>
      </c>
      <c r="J29" s="10" t="n">
        <v>1</v>
      </c>
      <c r="K29" s="8" t="inlineStr">
        <is>
          <t>un</t>
        </is>
      </c>
      <c r="L29" s="11" t="n">
        <v>109.15</v>
      </c>
      <c r="M29" s="12">
        <f>J29*L29</f>
        <v/>
      </c>
    </row>
    <row r="30">
      <c r="A30" s="13" t="inlineStr">
        <is>
          <t>Decoração (opcional)</t>
        </is>
      </c>
      <c r="B30" s="13" t="inlineStr">
        <is>
          <t>Luminária de mesa articulada</t>
        </is>
      </c>
      <c r="C30" s="13" t="inlineStr">
        <is>
          <t>Luminária articulada preta, E27, lâmpada 2700 K</t>
        </is>
      </c>
      <c r="D30" s="13" t="inlineStr">
        <is>
          <t>A pesquisar</t>
        </is>
      </c>
      <c r="E30" s="13" t="inlineStr">
        <is>
          <t>Estimativa (preço não pesquisado)</t>
        </is>
      </c>
      <c r="F30" s="13" t="inlineStr">
        <is>
          <t>—</t>
        </is>
      </c>
      <c r="G30" s="13" t="inlineStr">
        <is>
          <t>—</t>
        </is>
      </c>
      <c r="H30" s="13" t="inlineStr">
        <is>
          <t>Estimativa</t>
        </is>
      </c>
      <c r="I30" s="13" t="inlineStr">
        <is>
          <t>30/10/2026</t>
        </is>
      </c>
      <c r="J30" s="14" t="n">
        <v>1</v>
      </c>
      <c r="K30" s="13" t="inlineStr">
        <is>
          <t>un</t>
        </is>
      </c>
      <c r="L30" s="15" t="n">
        <v>192</v>
      </c>
      <c r="M30" s="16">
        <f>J30*L30</f>
        <v/>
      </c>
    </row>
    <row r="31">
      <c r="A31" s="13" t="inlineStr">
        <is>
          <t>Decoração (opcional)</t>
        </is>
      </c>
      <c r="B31" s="13" t="inlineStr">
        <is>
          <t>Suporte de headphone</t>
        </is>
      </c>
      <c r="C31" s="13" t="inlineStr">
        <is>
          <t>Suporte de mesa em metal preto</t>
        </is>
      </c>
      <c r="D31" s="13" t="inlineStr">
        <is>
          <t>A pesquisar</t>
        </is>
      </c>
      <c r="E31" s="13" t="inlineStr">
        <is>
          <t>Estimativa (preço não pesquisado)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Estimativa</t>
        </is>
      </c>
      <c r="I31" s="13" t="inlineStr">
        <is>
          <t>30/10/2026</t>
        </is>
      </c>
      <c r="J31" s="14" t="n">
        <v>1</v>
      </c>
      <c r="K31" s="13" t="inlineStr">
        <is>
          <t>un</t>
        </is>
      </c>
      <c r="L31" s="15" t="n">
        <v>96</v>
      </c>
      <c r="M31" s="16">
        <f>J31*L31</f>
        <v/>
      </c>
    </row>
    <row r="32">
      <c r="A32" s="13" t="inlineStr">
        <is>
          <t>Decoração (opcional)</t>
        </is>
      </c>
      <c r="B32" s="13" t="inlineStr">
        <is>
          <t>Quadros P&amp;B (3 na parede + 2 na prateleira)</t>
        </is>
      </c>
      <c r="C32" s="13" t="inlineStr">
        <is>
          <t>Impressões P&amp;B 40×55, 2× 36×26, 20×25, 15×20 c/ moldura preta e passe-partout</t>
        </is>
      </c>
      <c r="D32" s="13" t="inlineStr">
        <is>
          <t>A pesquisar</t>
        </is>
      </c>
      <c r="E32" s="13" t="inlineStr">
        <is>
          <t>Estimativa (preço não pesquisado)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Estimativa</t>
        </is>
      </c>
      <c r="I32" s="13" t="inlineStr">
        <is>
          <t>30/10/2026</t>
        </is>
      </c>
      <c r="J32" s="14" t="n">
        <v>1</v>
      </c>
      <c r="K32" s="13" t="inlineStr">
        <is>
          <t>un</t>
        </is>
      </c>
      <c r="L32" s="15" t="n">
        <v>560</v>
      </c>
      <c r="M32" s="16">
        <f>J32*L32</f>
        <v/>
      </c>
    </row>
    <row r="33">
      <c r="A33" s="13" t="inlineStr">
        <is>
          <t>Decoração (opcional)</t>
        </is>
      </c>
      <c r="B33" s="13" t="inlineStr">
        <is>
          <t>Planta pendente</t>
        </is>
      </c>
      <c r="C33" s="13" t="inlineStr">
        <is>
          <t>Vaso cerâmica preta Ø18 + suporte de corda + samambaia + gancho de teto</t>
        </is>
      </c>
      <c r="D33" s="13" t="inlineStr">
        <is>
          <t>A pesquisar</t>
        </is>
      </c>
      <c r="E33" s="13" t="inlineStr">
        <is>
          <t>Estimativa (preço não pesquisado)</t>
        </is>
      </c>
      <c r="F33" s="13" t="inlineStr">
        <is>
          <t>—</t>
        </is>
      </c>
      <c r="G33" s="13" t="inlineStr">
        <is>
          <t>—</t>
        </is>
      </c>
      <c r="H33" s="13" t="inlineStr">
        <is>
          <t>Estimativa</t>
        </is>
      </c>
      <c r="I33" s="13" t="inlineStr">
        <is>
          <t>30/10/2026</t>
        </is>
      </c>
      <c r="J33" s="14" t="n">
        <v>1</v>
      </c>
      <c r="K33" s="13" t="inlineStr">
        <is>
          <t>un</t>
        </is>
      </c>
      <c r="L33" s="15" t="n">
        <v>192</v>
      </c>
      <c r="M33" s="16">
        <f>J33*L33</f>
        <v/>
      </c>
    </row>
    <row r="34">
      <c r="A34" s="13" t="inlineStr">
        <is>
          <t>Decoração (opcional)</t>
        </is>
      </c>
      <c r="B34" s="13" t="inlineStr">
        <is>
          <t>Objetos dos nichos</t>
        </is>
      </c>
      <c r="C34" s="13" t="inlineStr">
        <is>
          <t>Vaso cerâmica + elefante em madeira + escultura de baleia (~15 cm)</t>
        </is>
      </c>
      <c r="D34" s="13" t="inlineStr">
        <is>
          <t>A pesquisar</t>
        </is>
      </c>
      <c r="E34" s="13" t="inlineStr">
        <is>
          <t>Estimativa (preço não pesquisado)</t>
        </is>
      </c>
      <c r="F34" s="13" t="inlineStr">
        <is>
          <t>—</t>
        </is>
      </c>
      <c r="G34" s="13" t="inlineStr">
        <is>
          <t>—</t>
        </is>
      </c>
      <c r="H34" s="13" t="inlineStr">
        <is>
          <t>Estimativa</t>
        </is>
      </c>
      <c r="I34" s="13" t="inlineStr">
        <is>
          <t>30/10/2026</t>
        </is>
      </c>
      <c r="J34" s="14" t="n">
        <v>1</v>
      </c>
      <c r="K34" s="13" t="inlineStr">
        <is>
          <t>un</t>
        </is>
      </c>
      <c r="L34" s="15" t="n">
        <v>320</v>
      </c>
      <c r="M34" s="16">
        <f>J34*L34</f>
        <v/>
      </c>
    </row>
    <row r="35">
      <c r="A35" s="13" t="inlineStr">
        <is>
          <t>Decoração (opcional)</t>
        </is>
      </c>
      <c r="B35" s="13" t="inlineStr">
        <is>
          <t>Plantas da prateleira</t>
        </is>
      </c>
      <c r="C35" s="13" t="inlineStr">
        <is>
          <t>Vaso médio c/ planta + suculenta</t>
        </is>
      </c>
      <c r="D35" s="13" t="inlineStr">
        <is>
          <t>A pesquisar</t>
        </is>
      </c>
      <c r="E35" s="13" t="inlineStr">
        <is>
          <t>Estimativa (preço não pesquisado)</t>
        </is>
      </c>
      <c r="F35" s="13" t="inlineStr">
        <is>
          <t>—</t>
        </is>
      </c>
      <c r="G35" s="13" t="inlineStr">
        <is>
          <t>—</t>
        </is>
      </c>
      <c r="H35" s="13" t="inlineStr">
        <is>
          <t>Estimativa</t>
        </is>
      </c>
      <c r="I35" s="13" t="inlineStr">
        <is>
          <t>30/10/2026</t>
        </is>
      </c>
      <c r="J35" s="14" t="n">
        <v>1</v>
      </c>
      <c r="K35" s="13" t="inlineStr">
        <is>
          <t>un</t>
        </is>
      </c>
      <c r="L35" s="15" t="n">
        <v>160</v>
      </c>
      <c r="M35" s="16">
        <f>J35*L35</f>
        <v/>
      </c>
    </row>
    <row r="36">
      <c r="A36" s="13" t="inlineStr">
        <is>
          <t>Decoração (opcional)</t>
        </is>
      </c>
      <c r="B36" s="13" t="inlineStr">
        <is>
          <t>Relógio LED de prateleira</t>
        </is>
      </c>
      <c r="C36" s="13" t="inlineStr">
        <is>
          <t>Relógio digital LED 12 cm</t>
        </is>
      </c>
      <c r="D36" s="13" t="inlineStr">
        <is>
          <t>A pesquisar</t>
        </is>
      </c>
      <c r="E36" s="13" t="inlineStr">
        <is>
          <t>Estimativa (preço não pesquisado)</t>
        </is>
      </c>
      <c r="F36" s="13" t="inlineStr">
        <is>
          <t>—</t>
        </is>
      </c>
      <c r="G36" s="13" t="inlineStr">
        <is>
          <t>—</t>
        </is>
      </c>
      <c r="H36" s="13" t="inlineStr">
        <is>
          <t>Estimativa</t>
        </is>
      </c>
      <c r="I36" s="13" t="inlineStr">
        <is>
          <t>30/10/2026</t>
        </is>
      </c>
      <c r="J36" s="14" t="n">
        <v>1</v>
      </c>
      <c r="K36" s="13" t="inlineStr">
        <is>
          <t>un</t>
        </is>
      </c>
      <c r="L36" s="15" t="n">
        <v>112</v>
      </c>
      <c r="M36" s="16">
        <f>J36*L36</f>
        <v/>
      </c>
    </row>
    <row r="37">
      <c r="A37" s="13" t="inlineStr">
        <is>
          <t>Decoração (opcional)</t>
        </is>
      </c>
      <c r="B37" s="13" t="inlineStr">
        <is>
          <t>Caneca e acessórios de mesa</t>
        </is>
      </c>
      <c r="C37" s="13" t="inlineStr">
        <is>
          <t>Caneca de cerâmica + porta-lápis</t>
        </is>
      </c>
      <c r="D37" s="13" t="inlineStr">
        <is>
          <t>A pesquisar</t>
        </is>
      </c>
      <c r="E37" s="13" t="inlineStr">
        <is>
          <t>Estimativa (preço não pesquisado)</t>
        </is>
      </c>
      <c r="F37" s="13" t="inlineStr">
        <is>
          <t>—</t>
        </is>
      </c>
      <c r="G37" s="13" t="inlineStr">
        <is>
          <t>—</t>
        </is>
      </c>
      <c r="H37" s="13" t="inlineStr">
        <is>
          <t>Estimativa</t>
        </is>
      </c>
      <c r="I37" s="13" t="inlineStr">
        <is>
          <t>30/10/2026</t>
        </is>
      </c>
      <c r="J37" s="14" t="n">
        <v>1</v>
      </c>
      <c r="K37" s="13" t="inlineStr">
        <is>
          <t>un</t>
        </is>
      </c>
      <c r="L37" s="15" t="n">
        <v>96</v>
      </c>
      <c r="M37" s="16">
        <f>J37*L37</f>
        <v/>
      </c>
    </row>
    <row r="38">
      <c r="A38" s="13" t="inlineStr">
        <is>
          <t>Serviços</t>
        </is>
      </c>
      <c r="B38" s="13" t="inlineStr">
        <is>
          <t>Mão de obra de pintura</t>
        </is>
      </c>
      <c r="C38" s="13" t="inlineStr">
        <is>
          <t>Pintor c/ preparo completo (paredes + teto)</t>
        </is>
      </c>
      <c r="D38" s="13" t="inlineStr">
        <is>
          <t>Profissional local</t>
        </is>
      </c>
      <c r="E38" s="13" t="inlineStr">
        <is>
          <t>Faixa R$ 15–35/m² simples; R$ 35–60/m² com preparo (Lar Pontual) — https://larpontual.com.br/portal/preco-de-pintor-por-m2</t>
        </is>
      </c>
      <c r="F38" s="13" t="inlineStr">
        <is>
          <t>—</t>
        </is>
      </c>
      <c r="G38" s="13" t="inlineStr">
        <is>
          <t>—</t>
        </is>
      </c>
      <c r="H38" s="13" t="inlineStr">
        <is>
          <t>Estimativa</t>
        </is>
      </c>
      <c r="I38" s="13" t="inlineStr">
        <is>
          <t>30/10/2026</t>
        </is>
      </c>
      <c r="J38" s="14">
        <f>area_pintura_total</f>
        <v/>
      </c>
      <c r="K38" s="13" t="inlineStr">
        <is>
          <t>m²</t>
        </is>
      </c>
      <c r="L38" s="15" t="n">
        <v>55</v>
      </c>
      <c r="M38" s="16">
        <f>J38*L38</f>
        <v/>
      </c>
    </row>
    <row r="39">
      <c r="A39" s="13" t="inlineStr">
        <is>
          <t>Serviços</t>
        </is>
      </c>
      <c r="B39" s="13" t="inlineStr">
        <is>
          <t>Instalação da iluminação</t>
        </is>
      </c>
      <c r="C39" s="13" t="inlineStr">
        <is>
          <t>Montagem das fitas/perfis/fontes (marceneiro ou eletricista)</t>
        </is>
      </c>
      <c r="D39" s="13" t="inlineStr">
        <is>
          <t>Profissional local</t>
        </is>
      </c>
      <c r="E39" s="13" t="inlineStr">
        <is>
          <t>Estimativa</t>
        </is>
      </c>
      <c r="F39" s="13" t="inlineStr">
        <is>
          <t>—</t>
        </is>
      </c>
      <c r="G39" s="13" t="inlineStr">
        <is>
          <t>—</t>
        </is>
      </c>
      <c r="H39" s="13" t="inlineStr">
        <is>
          <t>Estimativa</t>
        </is>
      </c>
      <c r="I39" s="13" t="inlineStr">
        <is>
          <t>30/10/2026</t>
        </is>
      </c>
      <c r="J39" s="14" t="n">
        <v>1</v>
      </c>
      <c r="K39" s="13" t="inlineStr">
        <is>
          <t>vb</t>
        </is>
      </c>
      <c r="L39" s="15" t="n">
        <v>400</v>
      </c>
      <c r="M39" s="16">
        <f>J39*L39</f>
        <v/>
      </c>
    </row>
    <row r="40">
      <c r="A40" s="13" t="inlineStr">
        <is>
          <t>Serviços</t>
        </is>
      </c>
      <c r="B40" s="13" t="inlineStr">
        <is>
          <t>Frete e taxas de importação</t>
        </is>
      </c>
      <c r="C40" s="13" t="inlineStr">
        <is>
          <t>Reserva (Amazon Global pode ter impostos)</t>
        </is>
      </c>
      <c r="D40" s="13" t="inlineStr">
        <is>
          <t>—</t>
        </is>
      </c>
      <c r="E40" s="13" t="inlineStr">
        <is>
          <t>Estimativa</t>
        </is>
      </c>
      <c r="F40" s="13" t="inlineStr">
        <is>
          <t>—</t>
        </is>
      </c>
      <c r="G40" s="13" t="inlineStr">
        <is>
          <t>—</t>
        </is>
      </c>
      <c r="H40" s="13" t="inlineStr">
        <is>
          <t>Estimativa</t>
        </is>
      </c>
      <c r="I40" s="13" t="inlineStr">
        <is>
          <t>30/10/2026</t>
        </is>
      </c>
      <c r="J40" s="14" t="n">
        <v>1</v>
      </c>
      <c r="K40" s="13" t="inlineStr">
        <is>
          <t>vb</t>
        </is>
      </c>
      <c r="L40" s="15" t="n">
        <v>450</v>
      </c>
      <c r="M40" s="16">
        <f>J40*L40</f>
        <v/>
      </c>
    </row>
    <row r="42">
      <c r="L42" s="4" t="inlineStr">
        <is>
          <t>Subtotal itens</t>
        </is>
      </c>
      <c r="M42" s="6">
        <f>SUM(M4:M40)</f>
        <v/>
      </c>
    </row>
    <row r="43">
      <c r="L43" s="4" t="inlineStr">
        <is>
          <t>Reserva para imprevistos</t>
        </is>
      </c>
      <c r="M43" s="6">
        <f>M42*contingencia</f>
        <v/>
      </c>
    </row>
    <row r="44">
      <c r="L44" s="4" t="inlineStr">
        <is>
          <t>TOTAL</t>
        </is>
      </c>
      <c r="M44" s="6">
        <f>M42+M43</f>
        <v/>
      </c>
    </row>
  </sheetData>
  <autoFilter ref="A3:M40"/>
  <hyperlinks>
    <hyperlink xmlns:r="http://schemas.openxmlformats.org/officeDocument/2006/relationships" ref="E4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6" r:id="rId18"/>
    <hyperlink xmlns:r="http://schemas.openxmlformats.org/officeDocument/2006/relationships" ref="E27" r:id="rId19"/>
    <hyperlink xmlns:r="http://schemas.openxmlformats.org/officeDocument/2006/relationships" ref="E28" r:id="rId20"/>
    <hyperlink xmlns:r="http://schemas.openxmlformats.org/officeDocument/2006/relationships" ref="E29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8" customWidth="1" min="4" max="4"/>
    <col width="14" customWidth="1" min="5" max="5"/>
  </cols>
  <sheetData>
    <row r="1">
      <c r="A1" s="7" t="inlineStr">
        <is>
          <t>Quantitativos técnicos — altere os valores em azul; o resto recalcula</t>
        </is>
      </c>
    </row>
    <row r="3">
      <c r="A3" s="2" t="inlineStr">
        <is>
          <t>Nome</t>
        </is>
      </c>
      <c r="B3" s="2" t="inlineStr">
        <is>
          <t>Descrição</t>
        </is>
      </c>
      <c r="C3" s="2" t="inlineStr">
        <is>
          <t>Valor</t>
        </is>
      </c>
      <c r="D3" s="2" t="inlineStr">
        <is>
          <t>Unid.</t>
        </is>
      </c>
      <c r="E3" s="2" t="inlineStr">
        <is>
          <t>Status</t>
        </is>
      </c>
    </row>
    <row r="4">
      <c r="A4" t="inlineStr">
        <is>
          <t>pe_direito</t>
        </is>
      </c>
      <c r="B4" t="inlineStr">
        <is>
          <t>Pé-direito</t>
        </is>
      </c>
      <c r="C4" s="17" t="n">
        <v>2.64</v>
      </c>
      <c r="D4" t="inlineStr">
        <is>
          <t>m</t>
        </is>
      </c>
      <c r="E4" t="inlineStr">
        <is>
          <t>Confirmada</t>
        </is>
      </c>
    </row>
    <row r="5">
      <c r="A5" t="inlineStr">
        <is>
          <t>parede_e_comp</t>
        </is>
      </c>
      <c r="B5" t="inlineStr">
        <is>
          <t>Parede E — comprimento</t>
        </is>
      </c>
      <c r="C5" s="17" t="n">
        <v>2.85</v>
      </c>
      <c r="D5" t="inlineStr">
        <is>
          <t>m</t>
        </is>
      </c>
      <c r="E5" t="inlineStr">
        <is>
          <t>Confirmada</t>
        </is>
      </c>
    </row>
    <row r="6">
      <c r="A6" t="inlineStr">
        <is>
          <t>janela_l</t>
        </is>
      </c>
      <c r="B6" t="inlineStr">
        <is>
          <t>Janela — largura</t>
        </is>
      </c>
      <c r="C6" s="17" t="n">
        <v>1.45</v>
      </c>
      <c r="D6" t="inlineStr">
        <is>
          <t>m</t>
        </is>
      </c>
      <c r="E6" t="inlineStr">
        <is>
          <t>Calculada</t>
        </is>
      </c>
    </row>
    <row r="7">
      <c r="A7" t="inlineStr">
        <is>
          <t>janela_h</t>
        </is>
      </c>
      <c r="B7" t="inlineStr">
        <is>
          <t>Janela — altura</t>
        </is>
      </c>
      <c r="C7" s="17" t="n">
        <v>1.2</v>
      </c>
      <c r="D7" t="inlineStr">
        <is>
          <t>m</t>
        </is>
      </c>
      <c r="E7" t="inlineStr">
        <is>
          <t>Confirmada*</t>
        </is>
      </c>
    </row>
    <row r="8">
      <c r="A8" t="inlineStr">
        <is>
          <t>parede_c_comp</t>
        </is>
      </c>
      <c r="B8" t="inlineStr">
        <is>
          <t>Parede C — comprimento</t>
        </is>
      </c>
      <c r="C8" s="17" t="n">
        <v>2</v>
      </c>
      <c r="D8" t="inlineStr">
        <is>
          <t>m</t>
        </is>
      </c>
      <c r="E8" t="inlineStr">
        <is>
          <t>Confirmada</t>
        </is>
      </c>
    </row>
    <row r="9">
      <c r="A9" t="inlineStr">
        <is>
          <t>bwc_trechos</t>
        </is>
      </c>
      <c r="B9" t="inlineStr">
        <is>
          <t>Parede do banheiro voltada à faixa (sem o vão da porta)</t>
        </is>
      </c>
      <c r="C9" s="17" t="n">
        <v>1.12</v>
      </c>
      <c r="D9" t="inlineStr">
        <is>
          <t>m</t>
        </is>
      </c>
      <c r="E9" t="inlineStr">
        <is>
          <t>Calculada</t>
        </is>
      </c>
    </row>
    <row r="10">
      <c r="A10" t="inlineStr">
        <is>
          <t>porta_bwc_l</t>
        </is>
      </c>
      <c r="B10" t="inlineStr">
        <is>
          <t>Porta do banheiro c/ batente</t>
        </is>
      </c>
      <c r="C10" s="17" t="n">
        <v>0.73</v>
      </c>
      <c r="D10" t="inlineStr">
        <is>
          <t>m</t>
        </is>
      </c>
      <c r="E10" t="inlineStr">
        <is>
          <t>Confirmada</t>
        </is>
      </c>
    </row>
    <row r="11">
      <c r="A11" t="inlineStr">
        <is>
          <t>porta_h</t>
        </is>
      </c>
      <c r="B11" t="inlineStr">
        <is>
          <t>Altura das portas (padrão)</t>
        </is>
      </c>
      <c r="C11" s="17" t="n">
        <v>2.1</v>
      </c>
      <c r="D11" t="inlineStr">
        <is>
          <t>m</t>
        </is>
      </c>
      <c r="E11" t="inlineStr">
        <is>
          <t>Estimada</t>
        </is>
      </c>
    </row>
    <row r="12">
      <c r="A12" t="inlineStr">
        <is>
          <t>faixa</t>
        </is>
      </c>
      <c r="B12" t="inlineStr">
        <is>
          <t>Faixa de entrada (parede leste)</t>
        </is>
      </c>
      <c r="C12" s="17" t="n">
        <v>0.86</v>
      </c>
      <c r="D12" t="inlineStr">
        <is>
          <t>m</t>
        </is>
      </c>
      <c r="E12" t="inlineStr">
        <is>
          <t>Confirmada</t>
        </is>
      </c>
    </row>
    <row r="13">
      <c r="A13" t="inlineStr">
        <is>
          <t>porta_ent_l</t>
        </is>
      </c>
      <c r="B13" t="inlineStr">
        <is>
          <t>Porta de entrada c/ batente</t>
        </is>
      </c>
      <c r="C13" s="17" t="n">
        <v>0.8</v>
      </c>
      <c r="D13" t="inlineStr">
        <is>
          <t>m</t>
        </is>
      </c>
      <c r="E13" t="inlineStr">
        <is>
          <t>Confirmada</t>
        </is>
      </c>
    </row>
    <row r="14">
      <c r="A14" t="inlineStr">
        <is>
          <t>parede_d_comp</t>
        </is>
      </c>
      <c r="B14" t="inlineStr">
        <is>
          <t>Parede D — comprimento</t>
        </is>
      </c>
      <c r="C14" s="17" t="n">
        <v>2.65</v>
      </c>
      <c r="D14" t="inlineStr">
        <is>
          <t>m</t>
        </is>
      </c>
      <c r="E14" t="inlineStr">
        <is>
          <t>Confirmada</t>
        </is>
      </c>
    </row>
    <row r="15">
      <c r="A15" t="inlineStr">
        <is>
          <t>teto_faixa_l</t>
        </is>
      </c>
      <c r="B15" t="inlineStr">
        <is>
          <t>Faixa de entrada — comprimento</t>
        </is>
      </c>
      <c r="C15" s="17" t="n">
        <v>1.95</v>
      </c>
      <c r="D15" t="inlineStr">
        <is>
          <t>m</t>
        </is>
      </c>
      <c r="E15" t="inlineStr">
        <is>
          <t>Calculada</t>
        </is>
      </c>
    </row>
    <row r="16">
      <c r="A16" t="inlineStr">
        <is>
          <t>area_e</t>
        </is>
      </c>
      <c r="B16" t="inlineStr">
        <is>
          <t>Área Parede E (− janela)</t>
        </is>
      </c>
      <c r="C16" s="18">
        <f>parede_e_comp*pe_direito-janela_l*janela_h</f>
        <v/>
      </c>
      <c r="D16" t="inlineStr">
        <is>
          <t>m²</t>
        </is>
      </c>
      <c r="E16" t="inlineStr">
        <is>
          <t>Calculada</t>
        </is>
      </c>
    </row>
    <row r="17">
      <c r="A17" t="inlineStr">
        <is>
          <t>area_c</t>
        </is>
      </c>
      <c r="B17" t="inlineStr">
        <is>
          <t>Área Parede C</t>
        </is>
      </c>
      <c r="C17" s="18">
        <f>parede_c_comp*pe_direito</f>
        <v/>
      </c>
      <c r="D17" t="inlineStr">
        <is>
          <t>m²</t>
        </is>
      </c>
      <c r="E17" t="inlineStr">
        <is>
          <t>Calculada</t>
        </is>
      </c>
    </row>
    <row r="18">
      <c r="A18" t="inlineStr">
        <is>
          <t>area_bwc</t>
        </is>
      </c>
      <c r="B18" t="inlineStr">
        <is>
          <t>Área parede do banheiro (+ acima da porta)</t>
        </is>
      </c>
      <c r="C18" s="18">
        <f>bwc_trechos*pe_direito+porta_bwc_l*(pe_direito-porta_h)</f>
        <v/>
      </c>
      <c r="D18" t="inlineStr">
        <is>
          <t>m²</t>
        </is>
      </c>
      <c r="E18" t="inlineStr">
        <is>
          <t>Calculada</t>
        </is>
      </c>
    </row>
    <row r="19">
      <c r="A19" t="inlineStr">
        <is>
          <t>area_leste</t>
        </is>
      </c>
      <c r="B19" t="inlineStr">
        <is>
          <t>Área parede leste (− porta)</t>
        </is>
      </c>
      <c r="C19" s="18">
        <f>faixa*pe_direito-porta_ent_l*porta_h</f>
        <v/>
      </c>
      <c r="D19" t="inlineStr">
        <is>
          <t>m²</t>
        </is>
      </c>
      <c r="E19" t="inlineStr">
        <is>
          <t>Calculada</t>
        </is>
      </c>
    </row>
    <row r="20">
      <c r="A20" t="inlineStr">
        <is>
          <t>area_paredes</t>
        </is>
      </c>
      <c r="B20" t="inlineStr">
        <is>
          <t>TOTAL paredes grafite</t>
        </is>
      </c>
      <c r="C20" s="18">
        <f>area_e+area_c+area_bwc+area_leste</f>
        <v/>
      </c>
      <c r="D20" t="inlineStr">
        <is>
          <t>m²</t>
        </is>
      </c>
      <c r="E20" t="inlineStr">
        <is>
          <t>Calculada</t>
        </is>
      </c>
    </row>
    <row r="21">
      <c r="A21" t="inlineStr">
        <is>
          <t>area_teto</t>
        </is>
      </c>
      <c r="B21" t="inlineStr">
        <is>
          <t>Área do teto</t>
        </is>
      </c>
      <c r="C21" s="18">
        <f>parede_d_comp*parede_e_comp+teto_faixa_l*faixa</f>
        <v/>
      </c>
      <c r="D21" t="inlineStr">
        <is>
          <t>m²</t>
        </is>
      </c>
      <c r="E21" t="inlineStr">
        <is>
          <t>Calculada</t>
        </is>
      </c>
    </row>
    <row r="22">
      <c r="A22" t="inlineStr">
        <is>
          <t>area_pintura_total</t>
        </is>
      </c>
      <c r="B22" t="inlineStr">
        <is>
          <t>Área total de pintura (paredes + teto)</t>
        </is>
      </c>
      <c r="C22" s="18">
        <f>area_paredes+area_teto</f>
        <v/>
      </c>
      <c r="D22" t="inlineStr">
        <is>
          <t>m²</t>
        </is>
      </c>
      <c r="E22" t="inlineStr">
        <is>
          <t>Calculada</t>
        </is>
      </c>
    </row>
    <row r="23">
      <c r="A23" t="inlineStr">
        <is>
          <t>area_ripado</t>
        </is>
      </c>
      <c r="B23" t="inlineStr">
        <is>
          <t>Área do ripado (Parede D inteira)</t>
        </is>
      </c>
      <c r="C23" s="18">
        <f>parede_d_comp*pe_direito</f>
        <v/>
      </c>
      <c r="D23" t="inlineStr">
        <is>
          <t>m²</t>
        </is>
      </c>
      <c r="E23" t="inlineStr">
        <is>
          <t>Calculada</t>
        </is>
      </c>
    </row>
    <row r="24">
      <c r="A24" t="inlineStr">
        <is>
          <t>demaos_parede</t>
        </is>
      </c>
      <c r="B24" t="inlineStr">
        <is>
          <t>Demãos nas paredes (cor escura sobre clara)</t>
        </is>
      </c>
      <c r="C24" s="17" t="n">
        <v>3</v>
      </c>
      <c r="D24" t="inlineStr">
        <is>
          <t>un</t>
        </is>
      </c>
      <c r="E24" t="inlineStr">
        <is>
          <t>Premissa</t>
        </is>
      </c>
    </row>
    <row r="25">
      <c r="A25" t="inlineStr">
        <is>
          <t>demaos_teto</t>
        </is>
      </c>
      <c r="B25" t="inlineStr">
        <is>
          <t>Demãos no teto</t>
        </is>
      </c>
      <c r="C25" s="17" t="n">
        <v>2</v>
      </c>
      <c r="D25" t="inlineStr">
        <is>
          <t>un</t>
        </is>
      </c>
      <c r="E25" t="inlineStr">
        <is>
          <t>Premissa</t>
        </is>
      </c>
    </row>
    <row r="26">
      <c r="A26" t="inlineStr">
        <is>
          <t>perda_tinta</t>
        </is>
      </c>
      <c r="B26" t="inlineStr">
        <is>
          <t>Perda de tinta</t>
        </is>
      </c>
      <c r="C26" s="19" t="n">
        <v>0.1</v>
      </c>
      <c r="D26" t="inlineStr">
        <is>
          <t>%</t>
        </is>
      </c>
      <c r="E26" t="inlineStr">
        <is>
          <t>Premissa</t>
        </is>
      </c>
    </row>
    <row r="27">
      <c r="A27" t="inlineStr">
        <is>
          <t>rend_galao</t>
        </is>
      </c>
      <c r="B27" t="inlineStr">
        <is>
          <t>Rendimento por galão 3,6 L por demão (conservador; conferir embalagem)</t>
        </is>
      </c>
      <c r="C27" s="17" t="n">
        <v>40</v>
      </c>
      <c r="D27" t="inlineStr">
        <is>
          <t>m²</t>
        </is>
      </c>
      <c r="E27" t="inlineStr">
        <is>
          <t>Estimada</t>
        </is>
      </c>
    </row>
    <row r="28">
      <c r="A28" t="inlineStr">
        <is>
          <t>galoes_parede</t>
        </is>
      </c>
      <c r="B28" t="inlineStr">
        <is>
          <t>Galões para paredes</t>
        </is>
      </c>
      <c r="C28" s="18">
        <f>ROUNDUP(area_paredes*demaos_parede*(1+perda_tinta)/rend_galao,0)</f>
        <v/>
      </c>
      <c r="D28" t="inlineStr">
        <is>
          <t>galão</t>
        </is>
      </c>
      <c r="E28" t="inlineStr">
        <is>
          <t>Calculada</t>
        </is>
      </c>
    </row>
    <row r="29">
      <c r="A29" t="inlineStr">
        <is>
          <t>galoes_teto</t>
        </is>
      </c>
      <c r="B29" t="inlineStr">
        <is>
          <t>Galões para teto</t>
        </is>
      </c>
      <c r="C29" s="18">
        <f>ROUNDUP(area_teto*demaos_teto*(1+perda_tinta)/rend_galao,0)</f>
        <v/>
      </c>
      <c r="D29" t="inlineStr">
        <is>
          <t>galão</t>
        </is>
      </c>
      <c r="E29" t="inlineStr">
        <is>
          <t>Calculada</t>
        </is>
      </c>
    </row>
    <row r="30">
      <c r="A30" t="inlineStr">
        <is>
          <t>led_prateleira</t>
        </is>
      </c>
      <c r="B30" t="inlineStr">
        <is>
          <t>LED sob a prateleira</t>
        </is>
      </c>
      <c r="C30" s="17" t="n">
        <v>1.7</v>
      </c>
      <c r="D30" t="inlineStr">
        <is>
          <t>m</t>
        </is>
      </c>
      <c r="E30" t="inlineStr">
        <is>
          <t>Projeto</t>
        </is>
      </c>
    </row>
    <row r="31">
      <c r="A31" t="inlineStr">
        <is>
          <t>led_vertical</t>
        </is>
      </c>
      <c r="B31" t="inlineStr">
        <is>
          <t>LED vertical no ripado (por perfil)</t>
        </is>
      </c>
      <c r="C31" s="17" t="n">
        <v>2.4</v>
      </c>
      <c r="D31" t="inlineStr">
        <is>
          <t>m</t>
        </is>
      </c>
      <c r="E31" t="inlineStr">
        <is>
          <t>Projeto</t>
        </is>
      </c>
    </row>
    <row r="32">
      <c r="A32" t="inlineStr">
        <is>
          <t>led_nichos</t>
        </is>
      </c>
      <c r="B32" t="inlineStr">
        <is>
          <t>LED dos 3 nichos (3 × 0,24)</t>
        </is>
      </c>
      <c r="C32" s="17" t="n">
        <v>0.72</v>
      </c>
      <c r="D32" t="inlineStr">
        <is>
          <t>m</t>
        </is>
      </c>
      <c r="E32" t="inlineStr">
        <is>
          <t>Projeto</t>
        </is>
      </c>
    </row>
    <row r="33">
      <c r="A33" t="inlineStr">
        <is>
          <t>n_verticais</t>
        </is>
      </c>
      <c r="B33" t="inlineStr">
        <is>
          <t>Nº de perfis verticais (Econômico/Equilibrado)</t>
        </is>
      </c>
      <c r="C33" s="17" t="n">
        <v>1</v>
      </c>
      <c r="D33" t="inlineStr">
        <is>
          <t>un</t>
        </is>
      </c>
      <c r="E33" t="inlineStr">
        <is>
          <t>Projeto</t>
        </is>
      </c>
    </row>
    <row r="34">
      <c r="A34" t="inlineStr">
        <is>
          <t>perda_led</t>
        </is>
      </c>
      <c r="B34" t="inlineStr">
        <is>
          <t>Sobra de corte da fita</t>
        </is>
      </c>
      <c r="C34" s="19" t="n">
        <v>0.1</v>
      </c>
      <c r="D34" t="inlineStr">
        <is>
          <t>%</t>
        </is>
      </c>
      <c r="E34" t="inlineStr">
        <is>
          <t>Premissa</t>
        </is>
      </c>
    </row>
    <row r="35">
      <c r="A35" t="inlineStr">
        <is>
          <t>metros_led</t>
        </is>
      </c>
      <c r="B35" t="inlineStr">
        <is>
          <t>Metros de fita LED</t>
        </is>
      </c>
      <c r="C35" s="18">
        <f>(led_prateleira+led_vertical*n_verticais+led_nichos)*(1+perda_led)</f>
        <v/>
      </c>
      <c r="D35" t="inlineStr">
        <is>
          <t>m</t>
        </is>
      </c>
      <c r="E35" t="inlineStr">
        <is>
          <t>Calculada</t>
        </is>
      </c>
    </row>
    <row r="36">
      <c r="A36" t="inlineStr">
        <is>
          <t>rolos_led</t>
        </is>
      </c>
      <c r="B36" t="inlineStr">
        <is>
          <t>Rolos de 5 m</t>
        </is>
      </c>
      <c r="C36" s="18">
        <f>ROUNDUP(metros_led/5,0)</f>
        <v/>
      </c>
      <c r="D36" t="inlineStr">
        <is>
          <t>rolo</t>
        </is>
      </c>
      <c r="E36" t="inlineStr">
        <is>
          <t>Calculada</t>
        </is>
      </c>
    </row>
    <row r="37">
      <c r="A37" t="inlineStr">
        <is>
          <t>barras_perfil</t>
        </is>
      </c>
      <c r="B37" t="inlineStr">
        <is>
          <t>Barras de perfil de 2 m</t>
        </is>
      </c>
      <c r="C37" s="18">
        <f>ROUNDUP(led_prateleira/2,0)+n_verticais*ROUNDUP(led_vertical/2,0)</f>
        <v/>
      </c>
      <c r="D37" t="inlineStr">
        <is>
          <t>barra</t>
        </is>
      </c>
      <c r="E37" t="inlineStr">
        <is>
          <t>Calculada</t>
        </is>
      </c>
    </row>
    <row r="38">
      <c r="A38" t="inlineStr">
        <is>
          <t>n_verticais_prem</t>
        </is>
      </c>
      <c r="B38" t="inlineStr">
        <is>
          <t>Nº de perfis verticais — Premium</t>
        </is>
      </c>
      <c r="C38" s="17" t="n">
        <v>2</v>
      </c>
      <c r="D38" t="inlineStr">
        <is>
          <t>un</t>
        </is>
      </c>
      <c r="E38" t="inlineStr">
        <is>
          <t>Projeto</t>
        </is>
      </c>
    </row>
    <row r="39">
      <c r="A39" t="inlineStr">
        <is>
          <t>metros_led_prem</t>
        </is>
      </c>
      <c r="B39" t="inlineStr">
        <is>
          <t>Metros de fita LED — Premium</t>
        </is>
      </c>
      <c r="C39" s="18">
        <f>(led_prateleira+led_vertical*n_verticais_prem+led_nichos)*(1+perda_led)</f>
        <v/>
      </c>
      <c r="D39" t="inlineStr">
        <is>
          <t>m</t>
        </is>
      </c>
      <c r="E39" t="inlineStr">
        <is>
          <t>Calculada</t>
        </is>
      </c>
    </row>
    <row r="40">
      <c r="A40" t="inlineStr">
        <is>
          <t>rolos_led_prem</t>
        </is>
      </c>
      <c r="B40" t="inlineStr">
        <is>
          <t>Rolos de 5 m — Premium</t>
        </is>
      </c>
      <c r="C40" s="18">
        <f>ROUNDUP(metros_led_prem/5,0)</f>
        <v/>
      </c>
      <c r="D40" t="inlineStr">
        <is>
          <t>rolo</t>
        </is>
      </c>
      <c r="E40" t="inlineStr">
        <is>
          <t>Calculada</t>
        </is>
      </c>
    </row>
    <row r="41">
      <c r="A41" t="inlineStr">
        <is>
          <t>barras_perfil_prem</t>
        </is>
      </c>
      <c r="B41" t="inlineStr">
        <is>
          <t>Barras de perfil de 2 m — Premium</t>
        </is>
      </c>
      <c r="C41" s="18">
        <f>ROUNDUP(led_prateleira/2,0)+n_verticais_prem*ROUNDUP(led_vertical/2,0)</f>
        <v/>
      </c>
      <c r="D41" t="inlineStr">
        <is>
          <t>barra</t>
        </is>
      </c>
      <c r="E41" t="inlineStr">
        <is>
          <t>Calculada</t>
        </is>
      </c>
    </row>
    <row r="42">
      <c r="A42" t="inlineStr">
        <is>
          <t>contingencia</t>
        </is>
      </c>
      <c r="B42" t="inlineStr">
        <is>
          <t>Reserva para imprevistos</t>
        </is>
      </c>
      <c r="C42" s="19" t="n">
        <v>0.1</v>
      </c>
      <c r="D42" t="inlineStr">
        <is>
          <t>%</t>
        </is>
      </c>
      <c r="E42" t="inlineStr">
        <is>
          <t>Premissa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2026-10-31T02:12:36Z</dcterms:created>
  <dcterms:modified xsi:type="dcterms:W3CDTF">2026-10-31T02:12:36Z</dcterms:modified>
</cp:coreProperties>
</file>