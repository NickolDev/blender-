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conômico" sheetId="2" state="visible" r:id="rId2"/>
    <sheet name="Equilibrado" sheetId="3" state="visible" r:id="rId3"/>
    <sheet name="Premium" sheetId="4" state="visible" r:id="rId4"/>
    <sheet name="Quantitativos" sheetId="5" state="visible" r:id="rId5"/>
  </sheets>
  <definedNames>
    <definedName name="pe_direito">Quantitativos!$C$4</definedName>
    <definedName name="parede_e_comp">Quantitativos!$C$5</definedName>
    <definedName name="janela_l">Quantitativos!$C$6</definedName>
    <definedName name="janela_h">Quantitativos!$C$7</definedName>
    <definedName name="parede_c_comp">Quantitativos!$C$8</definedName>
    <definedName name="bwc_trechos">Quantitativos!$C$9</definedName>
    <definedName name="porta_bwc_l">Quantitativos!$C$10</definedName>
    <definedName name="porta_h">Quantitativos!$C$11</definedName>
    <definedName name="faixa">Quantitativos!$C$12</definedName>
    <definedName name="porta_ent_l">Quantitativos!$C$13</definedName>
    <definedName name="parede_d_comp">Quantitativos!$C$14</definedName>
    <definedName name="teto_faixa_l">Quantitativos!$C$15</definedName>
    <definedName name="area_e">Quantitativos!$C$16</definedName>
    <definedName name="area_c">Quantitativos!$C$17</definedName>
    <definedName name="area_bwc">Quantitativos!$C$18</definedName>
    <definedName name="area_leste">Quantitativos!$C$19</definedName>
    <definedName name="area_paredes">Quantitativos!$C$20</definedName>
    <definedName name="area_teto">Quantitativos!$C$21</definedName>
    <definedName name="area_pintura_total">Quantitativos!$C$22</definedName>
    <definedName name="area_ripado">Quantitativos!$C$23</definedName>
    <definedName name="demaos_parede">Quantitativos!$C$24</definedName>
    <definedName name="demaos_teto">Quantitativos!$C$25</definedName>
    <definedName name="perda_tinta">Quantitativos!$C$26</definedName>
    <definedName name="rend_galao">Quantitativos!$C$27</definedName>
    <definedName name="galoes_parede">Quantitativos!$C$28</definedName>
    <definedName name="galoes_teto">Quantitativos!$C$29</definedName>
    <definedName name="led_prateleira">Quantitativos!$C$30</definedName>
    <definedName name="led_vertical">Quantitativos!$C$31</definedName>
    <definedName name="n_verticais">Quantitativos!$C$32</definedName>
    <definedName name="perda_led">Quantitativos!$C$33</definedName>
    <definedName name="metros_led">Quantitativos!$C$34</definedName>
    <definedName name="rolos_led">Quantitativos!$C$35</definedName>
    <definedName name="barras_perfil">Quantitativos!$C$36</definedName>
    <definedName name="n_verticais_prem">Quantitativos!$C$37</definedName>
    <definedName name="metros_led_prem">Quantitativos!$C$38</definedName>
    <definedName name="rolos_led_prem">Quantitativos!$C$39</definedName>
    <definedName name="barras_perfil_prem">Quantitativos!$C$40</definedName>
    <definedName name="contingencia">Quantitativos!$C$41</definedName>
    <definedName name="_xlnm._FilterDatabase" localSheetId="1" hidden="1">'Econômico'!$A$3:$M$32</definedName>
    <definedName name="_xlnm._FilterDatabase" localSheetId="2" hidden="1">'Equilibrado'!$A$3:$M$32</definedName>
    <definedName name="_xlnm._FilterDatabase" localSheetId="3" hidden="1">'Premium'!$A$3:$M$32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9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color rgb="001F5FE0"/>
    </font>
    <font>
      <color rgb="001F5FE0"/>
      <u val="single"/>
    </font>
    <font>
      <color rgb="001F5FE0"/>
    </font>
    <font>
      <b val="1"/>
    </font>
    <font>
      <b val="1"/>
      <sz val="14"/>
    </font>
    <font/>
  </fonts>
  <fills count="4">
    <fill>
      <patternFill/>
    </fill>
    <fill>
      <patternFill patternType="gray125"/>
    </fill>
    <fill>
      <patternFill patternType="solid">
        <fgColor rgb="002E3033"/>
      </patternFill>
    </fill>
    <fill>
      <patternFill patternType="solid">
        <fgColor rgb="00FFF4E5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164" fontId="6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4" fillId="0" borderId="1" pivotButton="0" quotePrefix="0" xfId="0"/>
    <xf numFmtId="2" fontId="0" fillId="0" borderId="1" pivotButton="0" quotePrefix="0" xfId="0"/>
    <xf numFmtId="164" fontId="5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2" fontId="0" fillId="3" borderId="1" pivotButton="0" quotePrefix="0" xfId="0"/>
    <xf numFmtId="164" fontId="5" fillId="3" borderId="1" pivotButton="0" quotePrefix="0" xfId="0"/>
    <xf numFmtId="164" fontId="0" fillId="3" borderId="1" pivotButton="0" quotePrefix="0" xfId="0"/>
    <xf numFmtId="2" fontId="3" fillId="0" borderId="0" pivotButton="0" quotePrefix="0" xfId="0"/>
    <xf numFmtId="2" fontId="0" fillId="0" borderId="0" pivotButton="0" quotePrefix="0" xfId="0"/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pichau.com.br/mesa-pichau-starlift-pro-com-regulagem-de-altura-160x80cm-preto" TargetMode="External" Id="rId1" /><Relationship Type="http://schemas.openxmlformats.org/officeDocument/2006/relationships/hyperlink" Target="https://www.amazon.com.br/dp/B0FSXG2BJ5" TargetMode="External" Id="rId2" /><Relationship Type="http://schemas.openxmlformats.org/officeDocument/2006/relationships/hyperlink" Target="https://www.pichau.com.br/cadeira-ergonomica-dt3-worka-preto-14961-1" TargetMode="External" Id="rId3" /><Relationship Type="http://schemas.openxmlformats.org/officeDocument/2006/relationships/hyperlink" Target="https://www.amazon.com.br/dp/B0C4648NG8" TargetMode="External" Id="rId4" /><Relationship Type="http://schemas.openxmlformats.org/officeDocument/2006/relationships/hyperlink" Target="https://www.amazon.com.br/dp/B0H6NHQXHW" TargetMode="External" Id="rId5" /><Relationship Type="http://schemas.openxmlformats.org/officeDocument/2006/relationships/hyperlink" Target="https://www.amazon.com.br/dp/B07L41MRLN" TargetMode="External" Id="rId6" /><Relationship Type="http://schemas.openxmlformats.org/officeDocument/2006/relationships/hyperlink" Target="https://www.amazon.com.br/dp/B0HPF7JM1G" TargetMode="External" Id="rId7" /><Relationship Type="http://schemas.openxmlformats.org/officeDocument/2006/relationships/hyperlink" Target="https://www.amazon.com.br/dp/B0GBY67PN3" TargetMode="External" Id="rId8" /><Relationship Type="http://schemas.openxmlformats.org/officeDocument/2006/relationships/hyperlink" Target="https://www.amazon.com.br/dp/B0H7CQ2BY2" TargetMode="External" Id="rId9" /><Relationship Type="http://schemas.openxmlformats.org/officeDocument/2006/relationships/hyperlink" Target="https://www.amazon.com.br/dp/B0F1ZBZZTP" TargetMode="External" Id="rId10" /><Relationship Type="http://schemas.openxmlformats.org/officeDocument/2006/relationships/hyperlink" Target="https://www.amazon.com.br/dp/B0FJH6572V" TargetMode="External" Id="rId11" /><Relationship Type="http://schemas.openxmlformats.org/officeDocument/2006/relationships/hyperlink" Target="https://www.amazon.com.br/dp/B0GXZ9CN8M" TargetMode="External" Id="rId12" /><Relationship Type="http://schemas.openxmlformats.org/officeDocument/2006/relationships/hyperlink" Target="https://www.amazon.com.br/dp/B0DND64VLW" TargetMode="External" Id="rId13" /><Relationship Type="http://schemas.openxmlformats.org/officeDocument/2006/relationships/hyperlink" Target="https://www.amazon.com.br/dp/B0HNY3SPM6" TargetMode="External" Id="rId14" /><Relationship Type="http://schemas.openxmlformats.org/officeDocument/2006/relationships/hyperlink" Target="https://www.amazon.com.br/dp/B0G62TWLCN" TargetMode="External" Id="rId15" /><Relationship Type="http://schemas.openxmlformats.org/officeDocument/2006/relationships/hyperlink" Target="https://www.amazon.com.br/dp/B0G62TCBGG" TargetMode="External" Id="rId16" /><Relationship Type="http://schemas.openxmlformats.org/officeDocument/2006/relationships/hyperlink" Target="https://www.amazon.com.br/dp/B0H6CMVSRL" TargetMode="External" Id="rId17" /><Relationship Type="http://schemas.openxmlformats.org/officeDocument/2006/relationships/hyperlink" Target="https://www.amazon.com.br/dp/B0H8BCLC4J" TargetMode="External" Id="rId18" /><Relationship Type="http://schemas.openxmlformats.org/officeDocument/2006/relationships/hyperlink" Target="https://www.amazon.com.br/dp/B0GVPX4YVY" TargetMode="External" Id="rId19" /><Relationship Type="http://schemas.openxmlformats.org/officeDocument/2006/relationships/hyperlink" Target="https://www.amazon.com.br/dp/B0GXCDQG6W" TargetMode="External" Id="rId20" /><Relationship Type="http://schemas.openxmlformats.org/officeDocument/2006/relationships/hyperlink" Target="https://www.amazon.com.br/dp/B0D8V17JSG" TargetMode="External" Id="rId21" /><Relationship Type="http://schemas.openxmlformats.org/officeDocument/2006/relationships/hyperlink" Target="https://www.amazon.com.br/dp/B089M44PPG" TargetMode="External" Id="rId22" /><Relationship Type="http://schemas.openxmlformats.org/officeDocument/2006/relationships/hyperlink" Target="https://www.amazon.com.br/dp/B08R58CWKD" TargetMode="External" Id="rId23" /><Relationship Type="http://schemas.openxmlformats.org/officeDocument/2006/relationships/hyperlink" Target="https://www.amazon.com.br/dp/B0GWNHFSCY" TargetMode="External" Id="rId24" /><Relationship Type="http://schemas.openxmlformats.org/officeDocument/2006/relationships/hyperlink" Target="https://www.amazon.com.br/dp/B0H13G1VTW" TargetMode="External" Id="rId2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ichau.com.br/mesa-pichau-starlift-pro-com-regulagem-de-altura-160x80cm-preto" TargetMode="External" Id="rId1" /><Relationship Type="http://schemas.openxmlformats.org/officeDocument/2006/relationships/hyperlink" Target="https://www.pichau.com.br/cadeira-ergonomica-dt3-elin-black-14881-2" TargetMode="External" Id="rId2" /><Relationship Type="http://schemas.openxmlformats.org/officeDocument/2006/relationships/hyperlink" Target="https://www.amazon.com.br/dp/B0D1J7X17Z" TargetMode="External" Id="rId3" /><Relationship Type="http://schemas.openxmlformats.org/officeDocument/2006/relationships/hyperlink" Target="https://www.amazon.com.br/dp/B0765KZDWP" TargetMode="External" Id="rId4" /><Relationship Type="http://schemas.openxmlformats.org/officeDocument/2006/relationships/hyperlink" Target="https://www.amazon.com.br/dp/B0GWDYZB8F" TargetMode="External" Id="rId5" /><Relationship Type="http://schemas.openxmlformats.org/officeDocument/2006/relationships/hyperlink" Target="https://www.amazon.com.br/dp/B0F7ZGD3M2" TargetMode="External" Id="rId6" /><Relationship Type="http://schemas.openxmlformats.org/officeDocument/2006/relationships/hyperlink" Target="https://www.amazon.com.br/dp/B0H7CQ2BY2" TargetMode="External" Id="rId7" /><Relationship Type="http://schemas.openxmlformats.org/officeDocument/2006/relationships/hyperlink" Target="https://www.amazon.com.br/dp/B0F1ZBZZTP" TargetMode="External" Id="rId8" /><Relationship Type="http://schemas.openxmlformats.org/officeDocument/2006/relationships/hyperlink" Target="https://www.amazon.com.br/dp/B0FS91PKKL" TargetMode="External" Id="rId9" /><Relationship Type="http://schemas.openxmlformats.org/officeDocument/2006/relationships/hyperlink" Target="https://www.amazon.com.br/dp/B0B6P9J3J5" TargetMode="External" Id="rId10" /><Relationship Type="http://schemas.openxmlformats.org/officeDocument/2006/relationships/hyperlink" Target="https://www.amazon.com.br/dp/B0DND64VLW" TargetMode="External" Id="rId11" /><Relationship Type="http://schemas.openxmlformats.org/officeDocument/2006/relationships/hyperlink" Target="https://www.amazon.com.br/dp/B0HNY3SPM6" TargetMode="External" Id="rId12" /><Relationship Type="http://schemas.openxmlformats.org/officeDocument/2006/relationships/hyperlink" Target="https://www.amazon.com.br/dp/B077G771GN" TargetMode="External" Id="rId13" /><Relationship Type="http://schemas.openxmlformats.org/officeDocument/2006/relationships/hyperlink" Target="https://www.amazon.com.br/dp/B077G6GQSP" TargetMode="External" Id="rId14" /><Relationship Type="http://schemas.openxmlformats.org/officeDocument/2006/relationships/hyperlink" Target="https://www.amazon.com.br/dp/B0H6CMVSRL" TargetMode="External" Id="rId15" /><Relationship Type="http://schemas.openxmlformats.org/officeDocument/2006/relationships/hyperlink" Target="https://www.amazon.com.br/dp/B0H8BCLC4J" TargetMode="External" Id="rId16" /><Relationship Type="http://schemas.openxmlformats.org/officeDocument/2006/relationships/hyperlink" Target="https://www.amazon.com.br/dp/B0GVPX4YVY" TargetMode="External" Id="rId17" /><Relationship Type="http://schemas.openxmlformats.org/officeDocument/2006/relationships/hyperlink" Target="https://www.amazon.com.br/dp/B0GXCDQG6W" TargetMode="External" Id="rId18" /><Relationship Type="http://schemas.openxmlformats.org/officeDocument/2006/relationships/hyperlink" Target="https://www.amazon.com.br/dp/B0D8V17JSG" TargetMode="External" Id="rId19" /><Relationship Type="http://schemas.openxmlformats.org/officeDocument/2006/relationships/hyperlink" Target="https://www.amazon.com.br/dp/B089M44PPG" TargetMode="External" Id="rId20" /><Relationship Type="http://schemas.openxmlformats.org/officeDocument/2006/relationships/hyperlink" Target="https://www.amazon.com.br/dp/B0GJRDZM82" TargetMode="External" Id="rId21" /><Relationship Type="http://schemas.openxmlformats.org/officeDocument/2006/relationships/hyperlink" Target="https://www.amazon.com.br/dp/B0H13G1VTW" TargetMode="External" Id="rId2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.br/dp/B0H45N1KWD" TargetMode="External" Id="rId1" /><Relationship Type="http://schemas.openxmlformats.org/officeDocument/2006/relationships/hyperlink" Target="https://www.pichau.com.br/cadeira-ergonomica-dt3-ergonomie-preto-14435-7" TargetMode="External" Id="rId2" /><Relationship Type="http://schemas.openxmlformats.org/officeDocument/2006/relationships/hyperlink" Target="https://www.amazon.com.br/dp/B0D54VM511" TargetMode="External" Id="rId3" /><Relationship Type="http://schemas.openxmlformats.org/officeDocument/2006/relationships/hyperlink" Target="https://www.amazon.com.br/dp/B0HKLNT1LN" TargetMode="External" Id="rId4" /><Relationship Type="http://schemas.openxmlformats.org/officeDocument/2006/relationships/hyperlink" Target="https://www.amazon.com.br/dp/B0GWDYZB8F" TargetMode="External" Id="rId5" /><Relationship Type="http://schemas.openxmlformats.org/officeDocument/2006/relationships/hyperlink" Target="https://www.amazon.com.br/dp/B0F7ZGD3M2" TargetMode="External" Id="rId6" /><Relationship Type="http://schemas.openxmlformats.org/officeDocument/2006/relationships/hyperlink" Target="https://www.amazon.com.br/dp/B0H7CQ2BY2" TargetMode="External" Id="rId7" /><Relationship Type="http://schemas.openxmlformats.org/officeDocument/2006/relationships/hyperlink" Target="https://www.amazon.com.br/dp/B0F1ZBZZTP" TargetMode="External" Id="rId8" /><Relationship Type="http://schemas.openxmlformats.org/officeDocument/2006/relationships/hyperlink" Target="https://www.amazon.com.br/dp/B0FS91PKKL" TargetMode="External" Id="rId9" /><Relationship Type="http://schemas.openxmlformats.org/officeDocument/2006/relationships/hyperlink" Target="https://www.amazon.com.br/dp/B0CZ9P1QW9" TargetMode="External" Id="rId10" /><Relationship Type="http://schemas.openxmlformats.org/officeDocument/2006/relationships/hyperlink" Target="https://www.amazon.com.br/dp/B094QSBVNB" TargetMode="External" Id="rId11" /><Relationship Type="http://schemas.openxmlformats.org/officeDocument/2006/relationships/hyperlink" Target="https://www.amazon.com.br/dp/B0HNY3SPM6" TargetMode="External" Id="rId12" /><Relationship Type="http://schemas.openxmlformats.org/officeDocument/2006/relationships/hyperlink" Target="https://www.amazon.com.br/dp/B077G8JCN6" TargetMode="External" Id="rId13" /><Relationship Type="http://schemas.openxmlformats.org/officeDocument/2006/relationships/hyperlink" Target="https://www.amazon.com.br/dp/B077G6GQSP" TargetMode="External" Id="rId14" /><Relationship Type="http://schemas.openxmlformats.org/officeDocument/2006/relationships/hyperlink" Target="https://www.amazon.com.br/dp/B0HCR49N2B" TargetMode="External" Id="rId15" /><Relationship Type="http://schemas.openxmlformats.org/officeDocument/2006/relationships/hyperlink" Target="https://www.amazon.com.br/dp/B0H6CMVSRL" TargetMode="External" Id="rId16" /><Relationship Type="http://schemas.openxmlformats.org/officeDocument/2006/relationships/hyperlink" Target="https://www.amazon.com.br/dp/B0H8BCLC4J" TargetMode="External" Id="rId17" /><Relationship Type="http://schemas.openxmlformats.org/officeDocument/2006/relationships/hyperlink" Target="https://www.amazon.com.br/dp/B0GVPX4YVY" TargetMode="External" Id="rId18" /><Relationship Type="http://schemas.openxmlformats.org/officeDocument/2006/relationships/hyperlink" Target="https://www.amazon.com.br/dp/B0GXCDQG6W" TargetMode="External" Id="rId19" /><Relationship Type="http://schemas.openxmlformats.org/officeDocument/2006/relationships/hyperlink" Target="https://www.amazon.com.br/dp/B0D8V17JSG" TargetMode="External" Id="rId20" /><Relationship Type="http://schemas.openxmlformats.org/officeDocument/2006/relationships/hyperlink" Target="https://www.amazon.com.br/dp/B089M44PPG" TargetMode="External" Id="rId21" /><Relationship Type="http://schemas.openxmlformats.org/officeDocument/2006/relationships/hyperlink" Target="https://www.amazon.com.br/dp/B0HFNYSZHZ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Resumo do orçamento — Suíte 01 (quarto + escritório)</t>
        </is>
      </c>
    </row>
    <row r="2">
      <c r="A2" t="inlineStr">
        <is>
          <t>Valores em R$. Preços consultados em 30/10/2026. Linhas em laranja nas abas = estimativas. Teto de orçamento: não informado.</t>
        </is>
      </c>
    </row>
    <row r="4">
      <c r="A4" s="2" t="inlineStr">
        <is>
          <t>Categoria</t>
        </is>
      </c>
      <c r="B4" s="2" t="inlineStr">
        <is>
          <t>Econômico</t>
        </is>
      </c>
      <c r="C4" s="2" t="inlineStr">
        <is>
          <t>Equilibrado</t>
        </is>
      </c>
      <c r="D4" s="2" t="inlineStr">
        <is>
          <t>Premium</t>
        </is>
      </c>
    </row>
    <row r="5">
      <c r="A5" t="inlineStr">
        <is>
          <t>Mobiliário</t>
        </is>
      </c>
      <c r="B5" s="3">
        <f>SUMIF('Econômico'!$A:$A,$A5,'Econômico'!$M:$M)</f>
        <v/>
      </c>
      <c r="C5" s="3">
        <f>SUMIF('Equilibrado'!$A:$A,$A5,'Equilibrado'!$M:$M)</f>
        <v/>
      </c>
      <c r="D5" s="3">
        <f>SUMIF('Premium'!$A:$A,$A5,'Premium'!$M:$M)</f>
        <v/>
      </c>
    </row>
    <row r="6">
      <c r="A6" t="inlineStr">
        <is>
          <t>Marcenaria</t>
        </is>
      </c>
      <c r="B6" s="3">
        <f>SUMIF('Econômico'!$A:$A,$A6,'Econômico'!$M:$M)</f>
        <v/>
      </c>
      <c r="C6" s="3">
        <f>SUMIF('Equilibrado'!$A:$A,$A6,'Equilibrado'!$M:$M)</f>
        <v/>
      </c>
      <c r="D6" s="3">
        <f>SUMIF('Premium'!$A:$A,$A6,'Premium'!$M:$M)</f>
        <v/>
      </c>
    </row>
    <row r="7">
      <c r="A7" t="inlineStr">
        <is>
          <t>Iluminação</t>
        </is>
      </c>
      <c r="B7" s="3">
        <f>SUMIF('Econômico'!$A:$A,$A7,'Econômico'!$M:$M)</f>
        <v/>
      </c>
      <c r="C7" s="3">
        <f>SUMIF('Equilibrado'!$A:$A,$A7,'Equilibrado'!$M:$M)</f>
        <v/>
      </c>
      <c r="D7" s="3">
        <f>SUMIF('Premium'!$A:$A,$A7,'Premium'!$M:$M)</f>
        <v/>
      </c>
    </row>
    <row r="8">
      <c r="A8" t="inlineStr">
        <is>
          <t>Pintura</t>
        </is>
      </c>
      <c r="B8" s="3">
        <f>SUMIF('Econômico'!$A:$A,$A8,'Econômico'!$M:$M)</f>
        <v/>
      </c>
      <c r="C8" s="3">
        <f>SUMIF('Equilibrado'!$A:$A,$A8,'Equilibrado'!$M:$M)</f>
        <v/>
      </c>
      <c r="D8" s="3">
        <f>SUMIF('Premium'!$A:$A,$A8,'Premium'!$M:$M)</f>
        <v/>
      </c>
    </row>
    <row r="9">
      <c r="A9" t="inlineStr">
        <is>
          <t>Complementares</t>
        </is>
      </c>
      <c r="B9" s="3">
        <f>SUMIF('Econômico'!$A:$A,$A9,'Econômico'!$M:$M)</f>
        <v/>
      </c>
      <c r="C9" s="3">
        <f>SUMIF('Equilibrado'!$A:$A,$A9,'Equilibrado'!$M:$M)</f>
        <v/>
      </c>
      <c r="D9" s="3">
        <f>SUMIF('Premium'!$A:$A,$A9,'Premium'!$M:$M)</f>
        <v/>
      </c>
    </row>
    <row r="10">
      <c r="A10" t="inlineStr">
        <is>
          <t>Serviços</t>
        </is>
      </c>
      <c r="B10" s="3">
        <f>SUMIF('Econômico'!$A:$A,$A10,'Econômico'!$M:$M)</f>
        <v/>
      </c>
      <c r="C10" s="3">
        <f>SUMIF('Equilibrado'!$A:$A,$A10,'Equilibrado'!$M:$M)</f>
        <v/>
      </c>
      <c r="D10" s="3">
        <f>SUMIF('Premium'!$A:$A,$A10,'Premium'!$M:$M)</f>
        <v/>
      </c>
    </row>
    <row r="11">
      <c r="A11" s="4" t="inlineStr">
        <is>
          <t>Subtotal itens</t>
        </is>
      </c>
      <c r="B11" s="3">
        <f>SUM(B5:B10)</f>
        <v/>
      </c>
      <c r="C11" s="3">
        <f>SUM(C5:C10)</f>
        <v/>
      </c>
      <c r="D11" s="3">
        <f>SUM(D5:D10)</f>
        <v/>
      </c>
    </row>
    <row r="12">
      <c r="A12" s="5" t="inlineStr">
        <is>
          <t>Reserva para imprevistos (10%)</t>
        </is>
      </c>
      <c r="B12" s="3">
        <f>B11*contingencia</f>
        <v/>
      </c>
      <c r="C12" s="3">
        <f>C11*contingencia</f>
        <v/>
      </c>
      <c r="D12" s="3">
        <f>D11*contingencia</f>
        <v/>
      </c>
    </row>
    <row r="13">
      <c r="A13" s="4" t="inlineStr">
        <is>
          <t>TOTAL</t>
        </is>
      </c>
      <c r="B13" s="6">
        <f>B11+B12</f>
        <v/>
      </c>
      <c r="C13" s="6">
        <f>C11+C12</f>
        <v/>
      </c>
      <c r="D13" s="6">
        <f>D11+D12</f>
        <v/>
      </c>
    </row>
    <row r="14">
      <c r="A14" s="5" t="inlineStr"/>
    </row>
    <row r="15">
      <c r="A15" s="5" t="inlineStr">
        <is>
          <t>dos quais: preços pesquisados</t>
        </is>
      </c>
      <c r="B15" s="3">
        <f>SUMIF('Econômico'!$H:$H,"Pesquisado (página do produto)",'Econômico'!$M:$M)+SUMIF('Econômico'!$H:$H,"Pesquisado (listagem da loja)",'Econômico'!$M:$M)</f>
        <v/>
      </c>
      <c r="C15" s="3">
        <f>SUMIF('Equilibrado'!$H:$H,"Pesquisado (página do produto)",'Equilibrado'!$M:$M)+SUMIF('Equilibrado'!$H:$H,"Pesquisado (listagem da loja)",'Equilibrado'!$M:$M)</f>
        <v/>
      </c>
      <c r="D15" s="3">
        <f>SUMIF('Premium'!$H:$H,"Pesquisado (página do produto)",'Premium'!$M:$M)+SUMIF('Premium'!$H:$H,"Pesquisado (listagem da loja)",'Premium'!$M:$M)</f>
        <v/>
      </c>
    </row>
    <row r="16">
      <c r="A16" s="5" t="inlineStr">
        <is>
          <t>dos quais: estimativas</t>
        </is>
      </c>
      <c r="B16" s="3">
        <f>SUMIF('Econômico'!$H:$H,"Estimativa",'Econômico'!$M:$M)</f>
        <v/>
      </c>
      <c r="C16" s="3">
        <f>SUMIF('Equilibrado'!$H:$H,"Estimativa",'Equilibrado'!$M:$M)</f>
        <v/>
      </c>
      <c r="D16" s="3">
        <f>SUMIF('Premium'!$H:$H,"Estimativa",'Premium'!$M:$M)</f>
        <v/>
      </c>
    </row>
    <row r="18">
      <c r="A18" s="4" t="inlineStr">
        <is>
          <t>Notas:</t>
        </is>
      </c>
    </row>
    <row r="19">
      <c r="A19" s="5" t="inlineStr">
        <is>
          <t>• Piso de madeira colante: fora do orçamento, conforme combinado.</t>
        </is>
      </c>
    </row>
    <row r="20">
      <c r="A20" s="5" t="inlineStr">
        <is>
          <t>• Preços Pichau = à vista no PIX. Amazon = preço do anúncio no dia; frete pode variar por CEP.</t>
        </is>
      </c>
    </row>
    <row r="21">
      <c r="A21" s="5" t="inlineStr">
        <is>
          <t>• Tinta grafite: o preço é o da base branca; a cor preparada em loja pode custar mais. Confirmar na loja.</t>
        </is>
      </c>
    </row>
    <row r="22">
      <c r="A22" s="5" t="inlineStr">
        <is>
          <t>• Marcenaria (ripado, tampo, prateleira) e mão de obra = estimativas por faixa de mercado; pedir 3 orçamentos locais.</t>
        </is>
      </c>
    </row>
    <row r="23">
      <c r="A23" s="5" t="inlineStr">
        <is>
          <t>• Premium: a estrutura Marsail é vendida pela Amazon Global (importação); prazo e impostos podem variar.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Econômico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Mesa regulável elétrica</t>
        </is>
      </c>
      <c r="C4" s="8" t="inlineStr">
        <is>
          <t>Pichau Starlift Pro 160×70 (1 motor, 80 kg, tampo MDP 15 mm)</t>
        </is>
      </c>
      <c r="D4" s="8" t="inlineStr">
        <is>
          <t>Pichau</t>
        </is>
      </c>
      <c r="E4" s="9" t="inlineStr">
        <is>
          <t>https://www.pichau.com.br/mesa-pichau-starlift-pro-com-regulagem-de-altura-160x80cm-preto</t>
        </is>
      </c>
      <c r="F4" s="8" t="inlineStr">
        <is>
          <t>160 × 70 × 73–118</t>
        </is>
      </c>
      <c r="G4" s="8" t="inlineStr">
        <is>
          <t>Aço + MDP melamina preto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823.99</v>
      </c>
      <c r="M4" s="12">
        <f>J4*L4</f>
        <v/>
      </c>
    </row>
    <row r="5">
      <c r="A5" s="8" t="inlineStr">
        <is>
          <t>Mobiliário</t>
        </is>
      </c>
      <c r="B5" s="8" t="inlineStr">
        <is>
          <t>Placa de reforço p/ braço (tampo de 15 mm)</t>
        </is>
      </c>
      <c r="C5" s="8" t="inlineStr">
        <is>
          <t>Placa de reforço de montagem de monitor (aço)</t>
        </is>
      </c>
      <c r="D5" s="8" t="inlineStr">
        <is>
          <t>Amazon</t>
        </is>
      </c>
      <c r="E5" s="9" t="inlineStr">
        <is>
          <t>https://www.amazon.com.br/dp/B0FSXG2BJ5</t>
        </is>
      </c>
      <c r="F5" s="8" t="inlineStr">
        <is>
          <t>—</t>
        </is>
      </c>
      <c r="G5" s="8" t="inlineStr">
        <is>
          <t>Aço</t>
        </is>
      </c>
      <c r="H5" s="8" t="inlineStr">
        <is>
          <t>Pesquisado (listagem da loja)</t>
        </is>
      </c>
      <c r="I5" s="8" t="inlineStr">
        <is>
          <t>30/10/2026</t>
        </is>
      </c>
      <c r="J5" s="10" t="n">
        <v>1</v>
      </c>
      <c r="K5" s="8" t="inlineStr">
        <is>
          <t>un</t>
        </is>
      </c>
      <c r="L5" s="11" t="n">
        <v>161.4</v>
      </c>
      <c r="M5" s="12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Worka Preto 14961-1</t>
        </is>
      </c>
      <c r="D6" s="8" t="inlineStr">
        <is>
          <t>Pichau</t>
        </is>
      </c>
      <c r="E6" s="9" t="inlineStr">
        <is>
          <t>https://www.pichau.com.br/cadeira-ergonomica-dt3-worka-preto-14961-1</t>
        </is>
      </c>
      <c r="F6" s="8" t="inlineStr">
        <is>
          <t>não declarada (est. 65 × 65)</t>
        </is>
      </c>
      <c r="G6" s="8" t="inlineStr">
        <is>
          <t>Tela/nylon</t>
        </is>
      </c>
      <c r="H6" s="8" t="inlineStr">
        <is>
          <t>Pesquisado (listagem da loja)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749.99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+ colchão solteiro</t>
        </is>
      </c>
      <c r="C7" s="8" t="inlineStr">
        <is>
          <t>Cama Box Solteiro Colchão Molas Qatar</t>
        </is>
      </c>
      <c r="D7" s="8" t="inlineStr">
        <is>
          <t>Amazon</t>
        </is>
      </c>
      <c r="E7" s="9" t="inlineStr">
        <is>
          <t>https://www.amazon.com.br/dp/B0C4648NG8</t>
        </is>
      </c>
      <c r="F7" s="8" t="inlineStr">
        <is>
          <t>88 × 188 × 60</t>
        </is>
      </c>
      <c r="G7" s="8" t="inlineStr">
        <is>
          <t>Molas + base box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630.83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Braço duplo pistão a gás 13–27" (2–9 kg) — NÃO serve ultrawide 34"</t>
        </is>
      </c>
      <c r="D8" s="8" t="inlineStr">
        <is>
          <t>Amazon</t>
        </is>
      </c>
      <c r="E8" s="9" t="inlineStr">
        <is>
          <t>https://www.amazon.com.br/dp/B0H6NHQXHW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(listagem da loja)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157.69</v>
      </c>
      <c r="M8" s="12">
        <f>J8*L8</f>
        <v/>
      </c>
    </row>
    <row r="9">
      <c r="A9" s="8" t="inlineStr">
        <is>
          <t>Mobiliário</t>
        </is>
      </c>
      <c r="B9" s="8" t="inlineStr">
        <is>
          <t>Suporte de gabinete</t>
        </is>
      </c>
      <c r="C9" s="8" t="inlineStr">
        <is>
          <t>C3Tech SC-20BK (piso)</t>
        </is>
      </c>
      <c r="D9" s="8" t="inlineStr">
        <is>
          <t>Amazon</t>
        </is>
      </c>
      <c r="E9" s="9" t="inlineStr">
        <is>
          <t>https://www.amazon.com.br/dp/B07L41MRLN</t>
        </is>
      </c>
      <c r="F9" s="8" t="inlineStr">
        <is>
          <t>—</t>
        </is>
      </c>
      <c r="G9" s="8" t="inlineStr">
        <is>
          <t>Plástico</t>
        </is>
      </c>
      <c r="H9" s="8" t="inlineStr">
        <is>
          <t>Pesquisado (listagem da loja)</t>
        </is>
      </c>
      <c r="I9" s="8" t="inlineStr">
        <is>
          <t>30/10/2026</t>
        </is>
      </c>
      <c r="J9" s="10" t="n">
        <v>1</v>
      </c>
      <c r="K9" s="8" t="inlineStr">
        <is>
          <t>un</t>
        </is>
      </c>
      <c r="L9" s="11" t="n">
        <v>32</v>
      </c>
      <c r="M9" s="12">
        <f>J9*L9</f>
        <v/>
      </c>
    </row>
    <row r="10">
      <c r="A10" s="13" t="inlineStr">
        <is>
          <t>Marcenaria</t>
        </is>
      </c>
      <c r="B10" s="13" t="inlineStr">
        <is>
          <t>Painel ripado Parede D (piso→teto)</t>
        </is>
      </c>
      <c r="C10" s="13" t="inlineStr">
        <is>
          <t>Ripado MDF BP amadeirado sobre fundo preto, instalado</t>
        </is>
      </c>
      <c r="D10" s="13" t="inlineStr">
        <is>
          <t>Marceneiro local</t>
        </is>
      </c>
      <c r="E10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10" s="13" t="inlineStr">
        <is>
          <t>265 × 3 × 264</t>
        </is>
      </c>
      <c r="G10" s="13" t="inlineStr">
        <is>
          <t>MDF BP</t>
        </is>
      </c>
      <c r="H10" s="13" t="inlineStr">
        <is>
          <t>Estimativa</t>
        </is>
      </c>
      <c r="I10" s="13" t="inlineStr">
        <is>
          <t>30/10/2026</t>
        </is>
      </c>
      <c r="J10" s="14">
        <f>area_ripado</f>
        <v/>
      </c>
      <c r="K10" s="13" t="inlineStr">
        <is>
          <t>m²</t>
        </is>
      </c>
      <c r="L10" s="15" t="n">
        <v>250</v>
      </c>
      <c r="M10" s="16">
        <f>J10*L10</f>
        <v/>
      </c>
    </row>
    <row r="11">
      <c r="A11" s="8" t="inlineStr">
        <is>
          <t>Marcenaria</t>
        </is>
      </c>
      <c r="B11" s="8" t="inlineStr">
        <is>
          <t>Prateleiras sobre a mesa</t>
        </is>
      </c>
      <c r="C11" s="8" t="inlineStr">
        <is>
          <t>Prateleira MDF Freijó 80×25 c/ suporte invisível (kit 2)</t>
        </is>
      </c>
      <c r="D11" s="8" t="inlineStr">
        <is>
          <t>Amazon</t>
        </is>
      </c>
      <c r="E11" s="9" t="inlineStr">
        <is>
          <t>https://www.amazon.com.br/dp/B0HPF7JM1G</t>
        </is>
      </c>
      <c r="F11" s="8" t="inlineStr">
        <is>
          <t>2 × (80 × 25)</t>
        </is>
      </c>
      <c r="G11" s="8" t="inlineStr">
        <is>
          <t>MDF freijó</t>
        </is>
      </c>
      <c r="H11" s="8" t="inlineStr">
        <is>
          <t>Pesquisado (listagem da loja)</t>
        </is>
      </c>
      <c r="I11" s="8" t="inlineStr">
        <is>
          <t>30/10/2026</t>
        </is>
      </c>
      <c r="J11" s="10" t="n">
        <v>1</v>
      </c>
      <c r="K11" s="8" t="inlineStr">
        <is>
          <t>kit</t>
        </is>
      </c>
      <c r="L11" s="11" t="n">
        <v>436</v>
      </c>
      <c r="M11" s="12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Fita LED COB 24V 15W/m 480 LEDs 3000K 5 m</t>
        </is>
      </c>
      <c r="D12" s="8" t="inlineStr">
        <is>
          <t>Amazon</t>
        </is>
      </c>
      <c r="E12" s="9" t="inlineStr">
        <is>
          <t>https://www.amazon.com.br/dp/B0GBY67PN3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</f>
        <v/>
      </c>
      <c r="K12" s="8" t="inlineStr">
        <is>
          <t>rolo</t>
        </is>
      </c>
      <c r="L12" s="11" t="n">
        <v>74.95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1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Dimmer da fita</t>
        </is>
      </c>
      <c r="C15" s="8" t="inlineStr">
        <is>
          <t>Controle remoto IR c/ dimmer 12/24V</t>
        </is>
      </c>
      <c r="D15" s="8" t="inlineStr">
        <is>
          <t>Amazon</t>
        </is>
      </c>
      <c r="E15" s="9" t="inlineStr">
        <is>
          <t>https://www.amazon.com.br/dp/B0FJH6572V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1</v>
      </c>
      <c r="K15" s="8" t="inlineStr">
        <is>
          <t>un</t>
        </is>
      </c>
      <c r="L15" s="11" t="n">
        <v>31.5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Luminária p/ monitor 3 temperaturas, toque</t>
        </is>
      </c>
      <c r="D16" s="8" t="inlineStr">
        <is>
          <t>Amazon</t>
        </is>
      </c>
      <c r="E16" s="9" t="inlineStr">
        <is>
          <t>https://www.amazon.com.br/dp/B0GXZ9CN8M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56.99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Arandela tubo articulada preta c/ interruptor (conferir se tem plugue)</t>
        </is>
      </c>
      <c r="D17" s="8" t="inlineStr">
        <is>
          <t>Amazon</t>
        </is>
      </c>
      <c r="E17" s="9" t="inlineStr">
        <is>
          <t>https://www.amazon.com.br/dp/B0DND64VLW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74.95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Coral Coralar acrílica 3,6 L — preço da base; cor grafite preparada em loja (conferir)</t>
        </is>
      </c>
      <c r="D19" s="8" t="inlineStr">
        <is>
          <t>Amazon</t>
        </is>
      </c>
      <c r="E19" s="9" t="inlineStr">
        <is>
          <t>https://www.amazon.com.br/dp/B0G62TWLCN</t>
        </is>
      </c>
      <c r="F19" s="8" t="inlineStr">
        <is>
          <t>3,6 L</t>
        </is>
      </c>
      <c r="G19" s="8" t="inlineStr">
        <is>
          <t>Acrílica fosca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61.74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Coral Coralar acrílica Branco 3,6 L</t>
        </is>
      </c>
      <c r="D20" s="8" t="inlineStr">
        <is>
          <t>Amazon</t>
        </is>
      </c>
      <c r="E20" s="9" t="inlineStr">
        <is>
          <t>https://www.amazon.com.br/dp/B0G62TCBGG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61.74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Kit pintura</t>
        </is>
      </c>
      <c r="C21" s="8" t="inlineStr">
        <is>
          <t>Kit anti-gotas rolos 23/9 cm, bandeja, suporte e trincha</t>
        </is>
      </c>
      <c r="D21" s="8" t="inlineStr">
        <is>
          <t>Amazon</t>
        </is>
      </c>
      <c r="E21" s="9" t="inlineStr">
        <is>
          <t>https://www.amazon.com.br/dp/B0H6CMVSRL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kit</t>
        </is>
      </c>
      <c r="L21" s="11" t="n">
        <v>31.99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Fita crepe</t>
        </is>
      </c>
      <c r="C22" s="8" t="inlineStr">
        <is>
          <t>Kit 2 fitas crepe 48 mm × 50 m</t>
        </is>
      </c>
      <c r="D22" s="8" t="inlineStr">
        <is>
          <t>Amazon</t>
        </is>
      </c>
      <c r="E22" s="9" t="inlineStr">
        <is>
          <t>https://www.amazon.com.br/dp/B0H8BCLC4J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29.8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Proteção de piso/móveis</t>
        </is>
      </c>
      <c r="C23" s="8" t="inlineStr">
        <is>
          <t>Lona protetora c/ fita 1,5 × 10 m</t>
        </is>
      </c>
      <c r="D23" s="8" t="inlineStr">
        <is>
          <t>Amazon</t>
        </is>
      </c>
      <c r="E23" s="9" t="inlineStr">
        <is>
          <t>https://www.amazon.com.br/dp/B0GVPX4YVY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un</t>
        </is>
      </c>
      <c r="L23" s="11" t="n">
        <v>15.9</v>
      </c>
      <c r="M23" s="12">
        <f>J23*L23</f>
        <v/>
      </c>
    </row>
    <row r="24">
      <c r="A24" s="13" t="inlineStr">
        <is>
          <t>Pintura</t>
        </is>
      </c>
      <c r="B24" s="13" t="inlineStr">
        <is>
          <t>Massa/reparos pontuais</t>
        </is>
      </c>
      <c r="C24" s="13" t="inlineStr">
        <is>
          <t>Massa corrida + lixa (reparos)</t>
        </is>
      </c>
      <c r="D24" s="13" t="inlineStr">
        <is>
          <t>—</t>
        </is>
      </c>
      <c r="E24" s="13" t="inlineStr">
        <is>
          <t>Estimativa</t>
        </is>
      </c>
      <c r="F24" s="13" t="inlineStr">
        <is>
          <t>—</t>
        </is>
      </c>
      <c r="G24" s="13" t="inlineStr">
        <is>
          <t>—</t>
        </is>
      </c>
      <c r="H24" s="13" t="inlineStr">
        <is>
          <t>Estimativa</t>
        </is>
      </c>
      <c r="I24" s="13" t="inlineStr">
        <is>
          <t>30/10/2026</t>
        </is>
      </c>
      <c r="J24" s="14" t="n">
        <v>1</v>
      </c>
      <c r="K24" s="13" t="inlineStr">
        <is>
          <t>vb</t>
        </is>
      </c>
      <c r="L24" s="15" t="n">
        <v>60</v>
      </c>
      <c r="M24" s="16">
        <f>J24*L24</f>
        <v/>
      </c>
    </row>
    <row r="25">
      <c r="A25" s="8" t="inlineStr">
        <is>
          <t>Complementares</t>
        </is>
      </c>
      <c r="B25" s="8" t="inlineStr">
        <is>
          <t>Tapete</t>
        </is>
      </c>
      <c r="C25" s="8" t="inlineStr">
        <is>
          <t>Tapete pelo baixo c/ relevo cinza escuro 2,00 × 1,40</t>
        </is>
      </c>
      <c r="D25" s="8" t="inlineStr">
        <is>
          <t>Amazon</t>
        </is>
      </c>
      <c r="E25" s="9" t="inlineStr">
        <is>
          <t>https://www.amazon.com.br/dp/B0GXCDQG6W</t>
        </is>
      </c>
      <c r="F25" s="8" t="inlineStr">
        <is>
          <t>140 × 200</t>
        </is>
      </c>
      <c r="G25" s="8" t="inlineStr">
        <is>
          <t>Sintético</t>
        </is>
      </c>
      <c r="H25" s="8" t="inlineStr">
        <is>
          <t>Pesquisado (listagem da loja)</t>
        </is>
      </c>
      <c r="I25" s="8" t="inlineStr">
        <is>
          <t>30/10/2026</t>
        </is>
      </c>
      <c r="J25" s="10" t="n">
        <v>1</v>
      </c>
      <c r="K25" s="8" t="inlineStr">
        <is>
          <t>un</t>
        </is>
      </c>
      <c r="L25" s="11" t="n">
        <v>142.4</v>
      </c>
      <c r="M25" s="12">
        <f>J25*L25</f>
        <v/>
      </c>
    </row>
    <row r="26">
      <c r="A26" s="8" t="inlineStr">
        <is>
          <t>Complementares</t>
        </is>
      </c>
      <c r="B26" s="8" t="inlineStr">
        <is>
          <t>Filtro de linha c/ DPS</t>
        </is>
      </c>
      <c r="C26" s="8" t="inlineStr">
        <is>
          <t>iCLAMPER Energia 5 tomadas</t>
        </is>
      </c>
      <c r="D26" s="8" t="inlineStr">
        <is>
          <t>Amazon</t>
        </is>
      </c>
      <c r="E26" s="9" t="inlineStr">
        <is>
          <t>https://www.amazon.com.br/dp/B0D8V17JSG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71.98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Prolongador da tomada (ripado)</t>
        </is>
      </c>
      <c r="C27" s="8" t="inlineStr">
        <is>
          <t>Margirius prolongador caixa 4×2</t>
        </is>
      </c>
      <c r="D27" s="8" t="inlineStr">
        <is>
          <t>Amazon</t>
        </is>
      </c>
      <c r="E27" s="9" t="inlineStr">
        <is>
          <t>https://www.amazon.com.br/dp/B089M44PPG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23.27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Organização de cabos</t>
        </is>
      </c>
      <c r="C28" s="8" t="inlineStr">
        <is>
          <t>Organizador de fios 19 mm × 1,5 m</t>
        </is>
      </c>
      <c r="D28" s="8" t="inlineStr">
        <is>
          <t>Amazon</t>
        </is>
      </c>
      <c r="E28" s="9" t="inlineStr">
        <is>
          <t>https://www.amazon.com.br/dp/B08R58CWKD</t>
        </is>
      </c>
      <c r="F28" s="8" t="inlineStr">
        <is>
          <t>—</t>
        </is>
      </c>
      <c r="G28" s="8" t="inlineStr">
        <is>
          <t>—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16.17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Abraçadeiras</t>
        </is>
      </c>
      <c r="C29" s="8" t="inlineStr">
        <is>
          <t>Abraçadeira nylon preta 2,5 × 100 mm (100 un)</t>
        </is>
      </c>
      <c r="D29" s="8" t="inlineStr">
        <is>
          <t>Amazon</t>
        </is>
      </c>
      <c r="E29" s="9" t="inlineStr">
        <is>
          <t>https://www.amazon.com.br/dp/B0GWNHFSCY</t>
        </is>
      </c>
      <c r="F29" s="8" t="inlineStr">
        <is>
          <t>—</t>
        </is>
      </c>
      <c r="G29" s="8" t="inlineStr">
        <is>
          <t>—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pct</t>
        </is>
      </c>
      <c r="L29" s="11" t="n">
        <v>10.2</v>
      </c>
      <c r="M29" s="12">
        <f>J29*L29</f>
        <v/>
      </c>
    </row>
    <row r="30">
      <c r="A30" s="8" t="inlineStr">
        <is>
          <t>Complementares</t>
        </is>
      </c>
      <c r="B30" s="8" t="inlineStr">
        <is>
          <t>Suporte de notebook</t>
        </is>
      </c>
      <c r="C30" s="8" t="inlineStr">
        <is>
          <t>Suporte dobrável alumínio c/ regulagem</t>
        </is>
      </c>
      <c r="D30" s="8" t="inlineStr">
        <is>
          <t>Amazon</t>
        </is>
      </c>
      <c r="E30" s="9" t="inlineStr">
        <is>
          <t>https://www.amazon.com.br/dp/B0H13G1VTW</t>
        </is>
      </c>
      <c r="F30" s="8" t="inlineStr">
        <is>
          <t>—</t>
        </is>
      </c>
      <c r="G30" s="8" t="inlineStr">
        <is>
          <t>Alumínio</t>
        </is>
      </c>
      <c r="H30" s="8" t="inlineStr">
        <is>
          <t>Pesquisado (listagem da loja)</t>
        </is>
      </c>
      <c r="I30" s="8" t="inlineStr">
        <is>
          <t>30/10/2026</t>
        </is>
      </c>
      <c r="J30" s="10" t="n">
        <v>1</v>
      </c>
      <c r="K30" s="8" t="inlineStr">
        <is>
          <t>un</t>
        </is>
      </c>
      <c r="L30" s="11" t="n">
        <v>65.78</v>
      </c>
      <c r="M30" s="12">
        <f>J30*L30</f>
        <v/>
      </c>
    </row>
    <row r="31">
      <c r="A31" s="13" t="inlineStr">
        <is>
          <t>Serviços</t>
        </is>
      </c>
      <c r="B31" s="13" t="inlineStr">
        <is>
          <t>Mão de obra de pintura</t>
        </is>
      </c>
      <c r="C31" s="13" t="inlineStr">
        <is>
          <t>Pintor (paredes + teto), sem preparo pesado</t>
        </is>
      </c>
      <c r="D31" s="13" t="inlineStr">
        <is>
          <t>Profissional local</t>
        </is>
      </c>
      <c r="E31" s="13" t="inlineStr">
        <is>
          <t>Faixa R$ 15–35/m² simples; R$ 35–60/m² com preparo (Lar Pontual) — https://larpontual.com.br/portal/preco-de-pintor-por-m2</t>
        </is>
      </c>
      <c r="F31" s="13" t="inlineStr">
        <is>
          <t>—</t>
        </is>
      </c>
      <c r="G31" s="13" t="inlineStr">
        <is>
          <t>—</t>
        </is>
      </c>
      <c r="H31" s="13" t="inlineStr">
        <is>
          <t>Estimativa</t>
        </is>
      </c>
      <c r="I31" s="13" t="inlineStr">
        <is>
          <t>30/10/2026</t>
        </is>
      </c>
      <c r="J31" s="14">
        <f>area_pintura_total</f>
        <v/>
      </c>
      <c r="K31" s="13" t="inlineStr">
        <is>
          <t>m²</t>
        </is>
      </c>
      <c r="L31" s="15" t="n">
        <v>25</v>
      </c>
      <c r="M31" s="16">
        <f>J31*L31</f>
        <v/>
      </c>
    </row>
    <row r="32">
      <c r="A32" s="13" t="inlineStr">
        <is>
          <t>Serviços</t>
        </is>
      </c>
      <c r="B32" s="13" t="inlineStr">
        <is>
          <t>Frete (itens sem frete grátis)</t>
        </is>
      </c>
      <c r="C32" s="13" t="inlineStr">
        <is>
          <t>Reserva de frete</t>
        </is>
      </c>
      <c r="D32" s="13" t="inlineStr">
        <is>
          <t>—</t>
        </is>
      </c>
      <c r="E32" s="13" t="inlineStr">
        <is>
          <t>Estimativa</t>
        </is>
      </c>
      <c r="F32" s="13" t="inlineStr">
        <is>
          <t>—</t>
        </is>
      </c>
      <c r="G32" s="13" t="inlineStr">
        <is>
          <t>—</t>
        </is>
      </c>
      <c r="H32" s="13" t="inlineStr">
        <is>
          <t>Estimativa</t>
        </is>
      </c>
      <c r="I32" s="13" t="inlineStr">
        <is>
          <t>30/10/2026</t>
        </is>
      </c>
      <c r="J32" s="14" t="n">
        <v>1</v>
      </c>
      <c r="K32" s="13" t="inlineStr">
        <is>
          <t>vb</t>
        </is>
      </c>
      <c r="L32" s="15" t="n">
        <v>150</v>
      </c>
      <c r="M32" s="16">
        <f>J32*L32</f>
        <v/>
      </c>
    </row>
    <row r="34">
      <c r="L34" s="4" t="inlineStr">
        <is>
          <t>Subtotal itens</t>
        </is>
      </c>
      <c r="M34" s="6">
        <f>SUM(M4:M32)</f>
        <v/>
      </c>
    </row>
    <row r="35">
      <c r="L35" s="4" t="inlineStr">
        <is>
          <t>Reserva para imprevistos</t>
        </is>
      </c>
      <c r="M35" s="6">
        <f>M34*contingencia</f>
        <v/>
      </c>
    </row>
    <row r="36">
      <c r="L36" s="4" t="inlineStr">
        <is>
          <t>TOTAL</t>
        </is>
      </c>
      <c r="M36" s="6">
        <f>M34+M35</f>
        <v/>
      </c>
    </row>
  </sheetData>
  <autoFilter ref="A3:M32"/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5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Equilibrado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Mesa regulável elétrica</t>
        </is>
      </c>
      <c r="C4" s="8" t="inlineStr">
        <is>
          <t>Pichau Starlift Pro 160×70 — usar a ESTRUTURA (80 kg); o tampo original sobra</t>
        </is>
      </c>
      <c r="D4" s="8" t="inlineStr">
        <is>
          <t>Pichau</t>
        </is>
      </c>
      <c r="E4" s="9" t="inlineStr">
        <is>
          <t>https://www.pichau.com.br/mesa-pichau-starlift-pro-com-regulagem-de-altura-160x80cm-preto</t>
        </is>
      </c>
      <c r="F4" s="8" t="inlineStr">
        <is>
          <t>160 × 70 × 73–118</t>
        </is>
      </c>
      <c r="G4" s="8" t="inlineStr">
        <is>
          <t>Aço + MDP melamina preto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823.99</v>
      </c>
      <c r="M4" s="12">
        <f>J4*L4</f>
        <v/>
      </c>
    </row>
    <row r="5">
      <c r="A5" s="13" t="inlineStr">
        <is>
          <t>Mobiliário</t>
        </is>
      </c>
      <c r="B5" s="13" t="inlineStr">
        <is>
          <t>Tampo sob medida</t>
        </is>
      </c>
      <c r="C5" s="13" t="inlineStr">
        <is>
          <t>Tampo MDF 25 mm freijó 170×70, borda reta, furo p/ braço e passa-cabo</t>
        </is>
      </c>
      <c r="D5" s="13" t="inlineStr">
        <is>
          <t>Marceneiro local</t>
        </is>
      </c>
      <c r="E5" s="13" t="inlineStr">
        <is>
          <t>Estimativa</t>
        </is>
      </c>
      <c r="F5" s="13" t="inlineStr">
        <is>
          <t>170 × 70 × 2,5</t>
        </is>
      </c>
      <c r="G5" s="13" t="inlineStr">
        <is>
          <t>MDF BP freijó</t>
        </is>
      </c>
      <c r="H5" s="13" t="inlineStr">
        <is>
          <t>Estimativa</t>
        </is>
      </c>
      <c r="I5" s="13" t="inlineStr">
        <is>
          <t>30/10/2026</t>
        </is>
      </c>
      <c r="J5" s="14" t="n">
        <v>1</v>
      </c>
      <c r="K5" s="13" t="inlineStr">
        <is>
          <t>un</t>
        </is>
      </c>
      <c r="L5" s="15" t="n">
        <v>700</v>
      </c>
      <c r="M5" s="16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Elin Black 14881-2 (braço 5D, encosto de cabeça 3D, lombar)</t>
        </is>
      </c>
      <c r="D6" s="8" t="inlineStr">
        <is>
          <t>Pichau</t>
        </is>
      </c>
      <c r="E6" s="9" t="inlineStr">
        <is>
          <t>https://www.pichau.com.br/cadeira-ergonomica-dt3-elin-black-14881-2</t>
        </is>
      </c>
      <c r="F6" s="8" t="inlineStr">
        <is>
          <t>não declarada (est. 65 × 65)</t>
        </is>
      </c>
      <c r="G6" s="8" t="inlineStr">
        <is>
          <t>Tecido + nylon</t>
        </is>
      </c>
      <c r="H6" s="8" t="inlineStr">
        <is>
          <t>Pesquisado (página do produto)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1199.99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+ colchão solteiro</t>
        </is>
      </c>
      <c r="C7" s="8" t="inlineStr">
        <is>
          <t>Gazin Maximus molas ensacadas, linho grafite/preto</t>
        </is>
      </c>
      <c r="D7" s="8" t="inlineStr">
        <is>
          <t>Amazon</t>
        </is>
      </c>
      <c r="E7" s="9" t="inlineStr">
        <is>
          <t>https://www.amazon.com.br/dp/B0D1J7X17Z</t>
        </is>
      </c>
      <c r="F7" s="8" t="inlineStr">
        <is>
          <t>88 × 188 × 62</t>
        </is>
      </c>
      <c r="G7" s="8" t="inlineStr">
        <is>
          <t>Molas ensacadas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899.1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ELG F160N 17–35" (2–9 kg/braço; borda ou furo)</t>
        </is>
      </c>
      <c r="D8" s="8" t="inlineStr">
        <is>
          <t>Amazon</t>
        </is>
      </c>
      <c r="E8" s="9" t="inlineStr">
        <is>
          <t>https://www.amazon.com.br/dp/B0765KZDWP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(página do produto)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218.87</v>
      </c>
      <c r="M8" s="12">
        <f>J8*L8</f>
        <v/>
      </c>
    </row>
    <row r="9">
      <c r="A9" s="8" t="inlineStr">
        <is>
          <t>Mobiliário</t>
        </is>
      </c>
      <c r="B9" s="8" t="inlineStr">
        <is>
          <t>Suporte de gabinete</t>
        </is>
      </c>
      <c r="C9" s="8" t="inlineStr">
        <is>
          <t>Suporte suspenso sob a mesa, giratório (10–15 kg)</t>
        </is>
      </c>
      <c r="D9" s="8" t="inlineStr">
        <is>
          <t>Amazon</t>
        </is>
      </c>
      <c r="E9" s="9" t="inlineStr">
        <is>
          <t>https://www.amazon.com.br/dp/B0GWDYZB8F</t>
        </is>
      </c>
      <c r="F9" s="8" t="inlineStr">
        <is>
          <t>larg. 13,5–23,5</t>
        </is>
      </c>
      <c r="G9" s="8" t="inlineStr">
        <is>
          <t>Aço</t>
        </is>
      </c>
      <c r="H9" s="8" t="inlineStr">
        <is>
          <t>Pesquisado (listagem da loja)</t>
        </is>
      </c>
      <c r="I9" s="8" t="inlineStr">
        <is>
          <t>30/10/2026</t>
        </is>
      </c>
      <c r="J9" s="10" t="n">
        <v>1</v>
      </c>
      <c r="K9" s="8" t="inlineStr">
        <is>
          <t>un</t>
        </is>
      </c>
      <c r="L9" s="11" t="n">
        <v>199.49</v>
      </c>
      <c r="M9" s="12">
        <f>J9*L9</f>
        <v/>
      </c>
    </row>
    <row r="10">
      <c r="A10" s="13" t="inlineStr">
        <is>
          <t>Marcenaria</t>
        </is>
      </c>
      <c r="B10" s="13" t="inlineStr">
        <is>
          <t>Painel ripado Parede D (piso→teto)</t>
        </is>
      </c>
      <c r="C10" s="13" t="inlineStr">
        <is>
          <t>Ripado MDF BP freijó + fundo preto, recortes, instalado</t>
        </is>
      </c>
      <c r="D10" s="13" t="inlineStr">
        <is>
          <t>Marceneiro local</t>
        </is>
      </c>
      <c r="E10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10" s="13" t="inlineStr">
        <is>
          <t>265 × 3 × 264</t>
        </is>
      </c>
      <c r="G10" s="13" t="inlineStr">
        <is>
          <t>MDF BP freijó</t>
        </is>
      </c>
      <c r="H10" s="13" t="inlineStr">
        <is>
          <t>Estimativa</t>
        </is>
      </c>
      <c r="I10" s="13" t="inlineStr">
        <is>
          <t>30/10/2026</t>
        </is>
      </c>
      <c r="J10" s="14">
        <f>area_ripado</f>
        <v/>
      </c>
      <c r="K10" s="13" t="inlineStr">
        <is>
          <t>m²</t>
        </is>
      </c>
      <c r="L10" s="15" t="n">
        <v>400</v>
      </c>
      <c r="M10" s="16">
        <f>J10*L10</f>
        <v/>
      </c>
    </row>
    <row r="11">
      <c r="A11" s="13" t="inlineStr">
        <is>
          <t>Marcenaria</t>
        </is>
      </c>
      <c r="B11" s="13" t="inlineStr">
        <is>
          <t>Prateleira sobre a mesa</t>
        </is>
      </c>
      <c r="C11" s="13" t="inlineStr">
        <is>
          <t>Prateleira freijó 170×25 c/ rasgo para LED, h = 1,95 m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170 × 25 × 2,5</t>
        </is>
      </c>
      <c r="G11" s="13" t="inlineStr">
        <is>
          <t>MDF BP freijó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un</t>
        </is>
      </c>
      <c r="L11" s="15" t="n">
        <v>500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Stella All Light Pro 16W/m 24V COB 3000K IRC 95+ 5 m</t>
        </is>
      </c>
      <c r="D12" s="8" t="inlineStr">
        <is>
          <t>Amazon</t>
        </is>
      </c>
      <c r="E12" s="9" t="inlineStr">
        <is>
          <t>https://www.amazon.com.br/dp/B0F7ZGD3M2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</f>
        <v/>
      </c>
      <c r="K12" s="8" t="inlineStr">
        <is>
          <t>rolo</t>
        </is>
      </c>
      <c r="L12" s="11" t="n">
        <v>200.69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1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Controle Wi-Fi da fita</t>
        </is>
      </c>
      <c r="C15" s="8" t="inlineStr">
        <is>
          <t>Controlador Wi-Fi c/ dimmer (Alexa/Google)</t>
        </is>
      </c>
      <c r="D15" s="8" t="inlineStr">
        <is>
          <t>Amazon</t>
        </is>
      </c>
      <c r="E15" s="9" t="inlineStr">
        <is>
          <t>https://www.amazon.com.br/dp/B0FS91PKKL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1</v>
      </c>
      <c r="K15" s="8" t="inlineStr">
        <is>
          <t>un</t>
        </is>
      </c>
      <c r="L15" s="11" t="n">
        <v>43.02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Quntis Light Bar PRO+ c/ controle remoto</t>
        </is>
      </c>
      <c r="D16" s="8" t="inlineStr">
        <is>
          <t>Amazon</t>
        </is>
      </c>
      <c r="E16" s="9" t="inlineStr">
        <is>
          <t>https://www.amazon.com.br/dp/B0B6P9J3J5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293.55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Arandela tubo articulada preta c/ interruptor (conferir se tem plugue)</t>
        </is>
      </c>
      <c r="D17" s="8" t="inlineStr">
        <is>
          <t>Amazon</t>
        </is>
      </c>
      <c r="E17" s="9" t="inlineStr">
        <is>
          <t>https://www.amazon.com.br/dp/B0DND64VLW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74.95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Suvinil Fosco Completo 3,6 L — preço da base branca; cor grafite em loja (conferir)</t>
        </is>
      </c>
      <c r="D19" s="8" t="inlineStr">
        <is>
          <t>Amazon</t>
        </is>
      </c>
      <c r="E19" s="9" t="inlineStr">
        <is>
          <t>https://www.amazon.com.br/dp/B077G771GN</t>
        </is>
      </c>
      <c r="F19" s="8" t="inlineStr">
        <is>
          <t>3,6 L</t>
        </is>
      </c>
      <c r="G19" s="8" t="inlineStr">
        <is>
          <t>Acrílica fosca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179.9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Suvinil acrílica fosca para teto Branco Neve 3,6 L</t>
        </is>
      </c>
      <c r="D20" s="8" t="inlineStr">
        <is>
          <t>Amazon</t>
        </is>
      </c>
      <c r="E20" s="9" t="inlineStr">
        <is>
          <t>https://www.amazon.com.br/dp/B077G6GQSP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171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Kit pintura</t>
        </is>
      </c>
      <c r="C21" s="8" t="inlineStr">
        <is>
          <t>Kit anti-gotas rolos 23/9 cm, bandeja, suporte e trincha</t>
        </is>
      </c>
      <c r="D21" s="8" t="inlineStr">
        <is>
          <t>Amazon</t>
        </is>
      </c>
      <c r="E21" s="9" t="inlineStr">
        <is>
          <t>https://www.amazon.com.br/dp/B0H6CMVSRL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kit</t>
        </is>
      </c>
      <c r="L21" s="11" t="n">
        <v>31.99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Fita crepe</t>
        </is>
      </c>
      <c r="C22" s="8" t="inlineStr">
        <is>
          <t>Kit 2 fitas crepe 48 mm × 50 m</t>
        </is>
      </c>
      <c r="D22" s="8" t="inlineStr">
        <is>
          <t>Amazon</t>
        </is>
      </c>
      <c r="E22" s="9" t="inlineStr">
        <is>
          <t>https://www.amazon.com.br/dp/B0H8BCLC4J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29.8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Proteção de piso/móveis</t>
        </is>
      </c>
      <c r="C23" s="8" t="inlineStr">
        <is>
          <t>Lona protetora c/ fita 1,5 × 10 m</t>
        </is>
      </c>
      <c r="D23" s="8" t="inlineStr">
        <is>
          <t>Amazon</t>
        </is>
      </c>
      <c r="E23" s="9" t="inlineStr">
        <is>
          <t>https://www.amazon.com.br/dp/B0GVPX4YVY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un</t>
        </is>
      </c>
      <c r="L23" s="11" t="n">
        <v>15.9</v>
      </c>
      <c r="M23" s="12">
        <f>J23*L23</f>
        <v/>
      </c>
    </row>
    <row r="24">
      <c r="A24" s="13" t="inlineStr">
        <is>
          <t>Pintura</t>
        </is>
      </c>
      <c r="B24" s="13" t="inlineStr">
        <is>
          <t>Massa/reparos pontuais</t>
        </is>
      </c>
      <c r="C24" s="13" t="inlineStr">
        <is>
          <t>Massa corrida + lixa (reparos)</t>
        </is>
      </c>
      <c r="D24" s="13" t="inlineStr">
        <is>
          <t>—</t>
        </is>
      </c>
      <c r="E24" s="13" t="inlineStr">
        <is>
          <t>Estimativa</t>
        </is>
      </c>
      <c r="F24" s="13" t="inlineStr">
        <is>
          <t>—</t>
        </is>
      </c>
      <c r="G24" s="13" t="inlineStr">
        <is>
          <t>—</t>
        </is>
      </c>
      <c r="H24" s="13" t="inlineStr">
        <is>
          <t>Estimativa</t>
        </is>
      </c>
      <c r="I24" s="13" t="inlineStr">
        <is>
          <t>30/10/2026</t>
        </is>
      </c>
      <c r="J24" s="14" t="n">
        <v>1</v>
      </c>
      <c r="K24" s="13" t="inlineStr">
        <is>
          <t>vb</t>
        </is>
      </c>
      <c r="L24" s="15" t="n">
        <v>60</v>
      </c>
      <c r="M24" s="16">
        <f>J24*L24</f>
        <v/>
      </c>
    </row>
    <row r="25">
      <c r="A25" s="8" t="inlineStr">
        <is>
          <t>Complementares</t>
        </is>
      </c>
      <c r="B25" s="8" t="inlineStr">
        <is>
          <t>Tapete</t>
        </is>
      </c>
      <c r="C25" s="8" t="inlineStr">
        <is>
          <t>Tapete pelo baixo c/ relevo cinza escuro 2,00 × 1,40</t>
        </is>
      </c>
      <c r="D25" s="8" t="inlineStr">
        <is>
          <t>Amazon</t>
        </is>
      </c>
      <c r="E25" s="9" t="inlineStr">
        <is>
          <t>https://www.amazon.com.br/dp/B0GXCDQG6W</t>
        </is>
      </c>
      <c r="F25" s="8" t="inlineStr">
        <is>
          <t>140 × 200</t>
        </is>
      </c>
      <c r="G25" s="8" t="inlineStr">
        <is>
          <t>Sintético</t>
        </is>
      </c>
      <c r="H25" s="8" t="inlineStr">
        <is>
          <t>Pesquisado (listagem da loja)</t>
        </is>
      </c>
      <c r="I25" s="8" t="inlineStr">
        <is>
          <t>30/10/2026</t>
        </is>
      </c>
      <c r="J25" s="10" t="n">
        <v>1</v>
      </c>
      <c r="K25" s="8" t="inlineStr">
        <is>
          <t>un</t>
        </is>
      </c>
      <c r="L25" s="11" t="n">
        <v>142.4</v>
      </c>
      <c r="M25" s="12">
        <f>J25*L25</f>
        <v/>
      </c>
    </row>
    <row r="26">
      <c r="A26" s="8" t="inlineStr">
        <is>
          <t>Complementares</t>
        </is>
      </c>
      <c r="B26" s="8" t="inlineStr">
        <is>
          <t>Filtro de linha c/ DPS</t>
        </is>
      </c>
      <c r="C26" s="8" t="inlineStr">
        <is>
          <t>iCLAMPER Energia 5 tomadas</t>
        </is>
      </c>
      <c r="D26" s="8" t="inlineStr">
        <is>
          <t>Amazon</t>
        </is>
      </c>
      <c r="E26" s="9" t="inlineStr">
        <is>
          <t>https://www.amazon.com.br/dp/B0D8V17JSG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71.98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Prolongador da tomada (ripado)</t>
        </is>
      </c>
      <c r="C27" s="8" t="inlineStr">
        <is>
          <t>Margirius prolongador caixa 4×2</t>
        </is>
      </c>
      <c r="D27" s="8" t="inlineStr">
        <is>
          <t>Amazon</t>
        </is>
      </c>
      <c r="E27" s="9" t="inlineStr">
        <is>
          <t>https://www.amazon.com.br/dp/B089M44PPG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23.27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Bandeja de cabos sob a mesa</t>
        </is>
      </c>
      <c r="C28" s="8" t="inlineStr">
        <is>
          <t>Bandeja organizadora sem perfuração</t>
        </is>
      </c>
      <c r="D28" s="8" t="inlineStr">
        <is>
          <t>Amazon</t>
        </is>
      </c>
      <c r="E28" s="9" t="inlineStr">
        <is>
          <t>https://www.amazon.com.br/dp/B0GJRDZM82</t>
        </is>
      </c>
      <c r="F28" s="8" t="inlineStr">
        <is>
          <t>—</t>
        </is>
      </c>
      <c r="G28" s="8" t="inlineStr">
        <is>
          <t>Metal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119.69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Suporte de notebook</t>
        </is>
      </c>
      <c r="C29" s="8" t="inlineStr">
        <is>
          <t>Suporte dobrável alumínio c/ regulagem</t>
        </is>
      </c>
      <c r="D29" s="8" t="inlineStr">
        <is>
          <t>Amazon</t>
        </is>
      </c>
      <c r="E29" s="9" t="inlineStr">
        <is>
          <t>https://www.amazon.com.br/dp/B0H13G1VTW</t>
        </is>
      </c>
      <c r="F29" s="8" t="inlineStr">
        <is>
          <t>—</t>
        </is>
      </c>
      <c r="G29" s="8" t="inlineStr">
        <is>
          <t>Alumínio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un</t>
        </is>
      </c>
      <c r="L29" s="11" t="n">
        <v>65.78</v>
      </c>
      <c r="M29" s="12">
        <f>J29*L29</f>
        <v/>
      </c>
    </row>
    <row r="30">
      <c r="A30" s="13" t="inlineStr">
        <is>
          <t>Serviços</t>
        </is>
      </c>
      <c r="B30" s="13" t="inlineStr">
        <is>
          <t>Mão de obra de pintura</t>
        </is>
      </c>
      <c r="C30" s="13" t="inlineStr">
        <is>
          <t>Pintor c/ preparo (paredes + teto)</t>
        </is>
      </c>
      <c r="D30" s="13" t="inlineStr">
        <is>
          <t>Profissional local</t>
        </is>
      </c>
      <c r="E30" s="13" t="inlineStr">
        <is>
          <t>Faixa R$ 15–35/m² simples; R$ 35–60/m² com preparo (Lar Pontual) — https://larpontual.com.br/portal/preco-de-pintor-por-m2</t>
        </is>
      </c>
      <c r="F30" s="13" t="inlineStr">
        <is>
          <t>—</t>
        </is>
      </c>
      <c r="G30" s="13" t="inlineStr">
        <is>
          <t>—</t>
        </is>
      </c>
      <c r="H30" s="13" t="inlineStr">
        <is>
          <t>Estimativa</t>
        </is>
      </c>
      <c r="I30" s="13" t="inlineStr">
        <is>
          <t>30/10/2026</t>
        </is>
      </c>
      <c r="J30" s="14">
        <f>area_pintura_total</f>
        <v/>
      </c>
      <c r="K30" s="13" t="inlineStr">
        <is>
          <t>m²</t>
        </is>
      </c>
      <c r="L30" s="15" t="n">
        <v>35</v>
      </c>
      <c r="M30" s="16">
        <f>J30*L30</f>
        <v/>
      </c>
    </row>
    <row r="31">
      <c r="A31" s="13" t="inlineStr">
        <is>
          <t>Serviços</t>
        </is>
      </c>
      <c r="B31" s="13" t="inlineStr">
        <is>
          <t>Instalação da iluminação</t>
        </is>
      </c>
      <c r="C31" s="13" t="inlineStr">
        <is>
          <t>Montagem das fitas/perfis/fonte (marceneiro ou eletricista)</t>
        </is>
      </c>
      <c r="D31" s="13" t="inlineStr">
        <is>
          <t>Profissional local</t>
        </is>
      </c>
      <c r="E31" s="13" t="inlineStr">
        <is>
          <t>Estimativa</t>
        </is>
      </c>
      <c r="F31" s="13" t="inlineStr">
        <is>
          <t>—</t>
        </is>
      </c>
      <c r="G31" s="13" t="inlineStr">
        <is>
          <t>—</t>
        </is>
      </c>
      <c r="H31" s="13" t="inlineStr">
        <is>
          <t>Estimativa</t>
        </is>
      </c>
      <c r="I31" s="13" t="inlineStr">
        <is>
          <t>30/10/2026</t>
        </is>
      </c>
      <c r="J31" s="14" t="n">
        <v>1</v>
      </c>
      <c r="K31" s="13" t="inlineStr">
        <is>
          <t>vb</t>
        </is>
      </c>
      <c r="L31" s="15" t="n">
        <v>250</v>
      </c>
      <c r="M31" s="16">
        <f>J31*L31</f>
        <v/>
      </c>
    </row>
    <row r="32">
      <c r="A32" s="13" t="inlineStr">
        <is>
          <t>Serviços</t>
        </is>
      </c>
      <c r="B32" s="13" t="inlineStr">
        <is>
          <t>Frete (itens sem frete grátis)</t>
        </is>
      </c>
      <c r="C32" s="13" t="inlineStr">
        <is>
          <t>Reserva de frete</t>
        </is>
      </c>
      <c r="D32" s="13" t="inlineStr">
        <is>
          <t>—</t>
        </is>
      </c>
      <c r="E32" s="13" t="inlineStr">
        <is>
          <t>Estimativa</t>
        </is>
      </c>
      <c r="F32" s="13" t="inlineStr">
        <is>
          <t>—</t>
        </is>
      </c>
      <c r="G32" s="13" t="inlineStr">
        <is>
          <t>—</t>
        </is>
      </c>
      <c r="H32" s="13" t="inlineStr">
        <is>
          <t>Estimativa</t>
        </is>
      </c>
      <c r="I32" s="13" t="inlineStr">
        <is>
          <t>30/10/2026</t>
        </is>
      </c>
      <c r="J32" s="14" t="n">
        <v>1</v>
      </c>
      <c r="K32" s="13" t="inlineStr">
        <is>
          <t>vb</t>
        </is>
      </c>
      <c r="L32" s="15" t="n">
        <v>200</v>
      </c>
      <c r="M32" s="16">
        <f>J32*L32</f>
        <v/>
      </c>
    </row>
    <row r="34">
      <c r="L34" s="4" t="inlineStr">
        <is>
          <t>Subtotal itens</t>
        </is>
      </c>
      <c r="M34" s="6">
        <f>SUM(M4:M32)</f>
        <v/>
      </c>
    </row>
    <row r="35">
      <c r="L35" s="4" t="inlineStr">
        <is>
          <t>Reserva para imprevistos</t>
        </is>
      </c>
      <c r="M35" s="6">
        <f>M34*contingencia</f>
        <v/>
      </c>
    </row>
    <row r="36">
      <c r="L36" s="4" t="inlineStr">
        <is>
          <t>TOTAL</t>
        </is>
      </c>
      <c r="M36" s="6">
        <f>M34+M35</f>
        <v/>
      </c>
    </row>
  </sheetData>
  <autoFilter ref="A3:M32"/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5" r:id="rId9"/>
    <hyperlink xmlns:r="http://schemas.openxmlformats.org/officeDocument/2006/relationships" ref="E16" r:id="rId10"/>
    <hyperlink xmlns:r="http://schemas.openxmlformats.org/officeDocument/2006/relationships" ref="E17" r:id="rId11"/>
    <hyperlink xmlns:r="http://schemas.openxmlformats.org/officeDocument/2006/relationships" ref="E18" r:id="rId12"/>
    <hyperlink xmlns:r="http://schemas.openxmlformats.org/officeDocument/2006/relationships" ref="E19" r:id="rId13"/>
    <hyperlink xmlns:r="http://schemas.openxmlformats.org/officeDocument/2006/relationships" ref="E20" r:id="rId14"/>
    <hyperlink xmlns:r="http://schemas.openxmlformats.org/officeDocument/2006/relationships" ref="E21" r:id="rId15"/>
    <hyperlink xmlns:r="http://schemas.openxmlformats.org/officeDocument/2006/relationships" ref="E22" r:id="rId16"/>
    <hyperlink xmlns:r="http://schemas.openxmlformats.org/officeDocument/2006/relationships" ref="E23" r:id="rId17"/>
    <hyperlink xmlns:r="http://schemas.openxmlformats.org/officeDocument/2006/relationships" ref="E25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Premium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Estrutura elétrica motor duplo</t>
        </is>
      </c>
      <c r="C4" s="8" t="inlineStr">
        <is>
          <t>Marsail motor duplo 120 kg, 71–118 cm, preta (Amazon Global — importação)</t>
        </is>
      </c>
      <c r="D4" s="8" t="inlineStr">
        <is>
          <t>Amazon</t>
        </is>
      </c>
      <c r="E4" s="9" t="inlineStr">
        <is>
          <t>https://www.amazon.com.br/dp/B0H45N1KWD</t>
        </is>
      </c>
      <c r="F4" s="8" t="inlineStr">
        <is>
          <t>tampos até 230 × 101</t>
        </is>
      </c>
      <c r="G4" s="8" t="inlineStr">
        <is>
          <t>Aço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2020.64</v>
      </c>
      <c r="M4" s="12">
        <f>J4*L4</f>
        <v/>
      </c>
    </row>
    <row r="5">
      <c r="A5" s="13" t="inlineStr">
        <is>
          <t>Mobiliário</t>
        </is>
      </c>
      <c r="B5" s="13" t="inlineStr">
        <is>
          <t>Tampo sob medida</t>
        </is>
      </c>
      <c r="C5" s="13" t="inlineStr">
        <is>
          <t>Tampo 30 mm lâmina natural freijó 170×70, borda maciça, furo p/ braço</t>
        </is>
      </c>
      <c r="D5" s="13" t="inlineStr">
        <is>
          <t>Marceneiro local</t>
        </is>
      </c>
      <c r="E5" s="13" t="inlineStr">
        <is>
          <t>Estimativa</t>
        </is>
      </c>
      <c r="F5" s="13" t="inlineStr">
        <is>
          <t>170 × 70 × 3</t>
        </is>
      </c>
      <c r="G5" s="13" t="inlineStr">
        <is>
          <t>MDF + lâmina natural</t>
        </is>
      </c>
      <c r="H5" s="13" t="inlineStr">
        <is>
          <t>Estimativa</t>
        </is>
      </c>
      <c r="I5" s="13" t="inlineStr">
        <is>
          <t>30/10/2026</t>
        </is>
      </c>
      <c r="J5" s="14" t="n">
        <v>1</v>
      </c>
      <c r="K5" s="13" t="inlineStr">
        <is>
          <t>un</t>
        </is>
      </c>
      <c r="L5" s="15" t="n">
        <v>1100</v>
      </c>
      <c r="M5" s="16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Ergonomie Preto 14435-7</t>
        </is>
      </c>
      <c r="D6" s="8" t="inlineStr">
        <is>
          <t>Pichau</t>
        </is>
      </c>
      <c r="E6" s="9" t="inlineStr">
        <is>
          <t>https://www.pichau.com.br/cadeira-ergonomica-dt3-ergonomie-preto-14435-7</t>
        </is>
      </c>
      <c r="F6" s="8" t="inlineStr">
        <is>
          <t>não declarada (est. 70 × 70)</t>
        </is>
      </c>
      <c r="G6" s="8" t="inlineStr">
        <is>
          <t>Tela</t>
        </is>
      </c>
      <c r="H6" s="8" t="inlineStr">
        <is>
          <t>Pesquisado (listagem da loja)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2599.99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baú + colchão solteiro</t>
        </is>
      </c>
      <c r="C7" s="8" t="inlineStr">
        <is>
          <t>Inducol Real molas ensacadas, box baú (armazenamento)</t>
        </is>
      </c>
      <c r="D7" s="8" t="inlineStr">
        <is>
          <t>Amazon</t>
        </is>
      </c>
      <c r="E7" s="9" t="inlineStr">
        <is>
          <t>https://www.amazon.com.br/dp/B0D54VM511</t>
        </is>
      </c>
      <c r="F7" s="8" t="inlineStr">
        <is>
          <t>88 × 188 × 68</t>
        </is>
      </c>
      <c r="G7" s="8" t="inlineStr">
        <is>
          <t>Molas ensacadas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1169.1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ELG F196dp 17–35" grafite, c/ cabo DisplayPort</t>
        </is>
      </c>
      <c r="D8" s="8" t="inlineStr">
        <is>
          <t>Amazon</t>
        </is>
      </c>
      <c r="E8" s="9" t="inlineStr">
        <is>
          <t>https://www.amazon.com.br/dp/B0HKLNT1LN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(listagem da loja)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284.99</v>
      </c>
      <c r="M8" s="12">
        <f>J8*L8</f>
        <v/>
      </c>
    </row>
    <row r="9">
      <c r="A9" s="8" t="inlineStr">
        <is>
          <t>Mobiliário</t>
        </is>
      </c>
      <c r="B9" s="8" t="inlineStr">
        <is>
          <t>Suporte de gabinete</t>
        </is>
      </c>
      <c r="C9" s="8" t="inlineStr">
        <is>
          <t>Suporte suspenso sob a mesa, giratório (10–15 kg)</t>
        </is>
      </c>
      <c r="D9" s="8" t="inlineStr">
        <is>
          <t>Amazon</t>
        </is>
      </c>
      <c r="E9" s="9" t="inlineStr">
        <is>
          <t>https://www.amazon.com.br/dp/B0GWDYZB8F</t>
        </is>
      </c>
      <c r="F9" s="8" t="inlineStr">
        <is>
          <t>larg. 13,5–23,5</t>
        </is>
      </c>
      <c r="G9" s="8" t="inlineStr">
        <is>
          <t>Aço</t>
        </is>
      </c>
      <c r="H9" s="8" t="inlineStr">
        <is>
          <t>Pesquisado (listagem da loja)</t>
        </is>
      </c>
      <c r="I9" s="8" t="inlineStr">
        <is>
          <t>30/10/2026</t>
        </is>
      </c>
      <c r="J9" s="10" t="n">
        <v>1</v>
      </c>
      <c r="K9" s="8" t="inlineStr">
        <is>
          <t>un</t>
        </is>
      </c>
      <c r="L9" s="11" t="n">
        <v>199.49</v>
      </c>
      <c r="M9" s="12">
        <f>J9*L9</f>
        <v/>
      </c>
    </row>
    <row r="10">
      <c r="A10" s="13" t="inlineStr">
        <is>
          <t>Marcenaria</t>
        </is>
      </c>
      <c r="B10" s="13" t="inlineStr">
        <is>
          <t>Painel ripado Parede D (piso→teto)</t>
        </is>
      </c>
      <c r="C10" s="13" t="inlineStr">
        <is>
          <t>Ripado em lâmina natural freijó + fundo preto, instalado</t>
        </is>
      </c>
      <c r="D10" s="13" t="inlineStr">
        <is>
          <t>Marceneiro local</t>
        </is>
      </c>
      <c r="E10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10" s="13" t="inlineStr">
        <is>
          <t>265 × 3 × 264</t>
        </is>
      </c>
      <c r="G10" s="13" t="inlineStr">
        <is>
          <t>Lâmina natural</t>
        </is>
      </c>
      <c r="H10" s="13" t="inlineStr">
        <is>
          <t>Estimativa</t>
        </is>
      </c>
      <c r="I10" s="13" t="inlineStr">
        <is>
          <t>30/10/2026</t>
        </is>
      </c>
      <c r="J10" s="14">
        <f>area_ripado</f>
        <v/>
      </c>
      <c r="K10" s="13" t="inlineStr">
        <is>
          <t>m²</t>
        </is>
      </c>
      <c r="L10" s="15" t="n">
        <v>600</v>
      </c>
      <c r="M10" s="16">
        <f>J10*L10</f>
        <v/>
      </c>
    </row>
    <row r="11">
      <c r="A11" s="13" t="inlineStr">
        <is>
          <t>Marcenaria</t>
        </is>
      </c>
      <c r="B11" s="13" t="inlineStr">
        <is>
          <t>Prateleira sobre a mesa</t>
        </is>
      </c>
      <c r="C11" s="13" t="inlineStr">
        <is>
          <t>Prateleira lâmina natural 170×25 c/ LED embutido, h = 1,95 m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170 × 25 × 3</t>
        </is>
      </c>
      <c r="G11" s="13" t="inlineStr">
        <is>
          <t>Lâmina natural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un</t>
        </is>
      </c>
      <c r="L11" s="15" t="n">
        <v>800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Stella All Light Pro 16W/m 24V COB 3000K IRC 95+ 5 m</t>
        </is>
      </c>
      <c r="D12" s="8" t="inlineStr">
        <is>
          <t>Amazon</t>
        </is>
      </c>
      <c r="E12" s="9" t="inlineStr">
        <is>
          <t>https://www.amazon.com.br/dp/B0F7ZGD3M2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rolos_led_prem</f>
        <v/>
      </c>
      <c r="K12" s="8" t="inlineStr">
        <is>
          <t>rolo</t>
        </is>
      </c>
      <c r="L12" s="11" t="n">
        <v>200.69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2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barras_perfil_prem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Controle Wi-Fi da fita</t>
        </is>
      </c>
      <c r="C15" s="8" t="inlineStr">
        <is>
          <t>Controlador Wi-Fi c/ dimmer (Alexa/Google)</t>
        </is>
      </c>
      <c r="D15" s="8" t="inlineStr">
        <is>
          <t>Amazon</t>
        </is>
      </c>
      <c r="E15" s="9" t="inlineStr">
        <is>
          <t>https://www.amazon.com.br/dp/B0FS91PKKL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2</v>
      </c>
      <c r="K15" s="8" t="inlineStr">
        <is>
          <t>un</t>
        </is>
      </c>
      <c r="L15" s="11" t="n">
        <v>43.02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BenQ ScreenBar Pro (sensor de presença)</t>
        </is>
      </c>
      <c r="D16" s="8" t="inlineStr">
        <is>
          <t>Amazon</t>
        </is>
      </c>
      <c r="E16" s="9" t="inlineStr">
        <is>
          <t>https://www.amazon.com.br/dp/B0CZ9P1QW9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1389.2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GOODATE arandela plug-in c/ interruptor regulável, braço oscilante</t>
        </is>
      </c>
      <c r="D17" s="8" t="inlineStr">
        <is>
          <t>Amazon</t>
        </is>
      </c>
      <c r="E17" s="9" t="inlineStr">
        <is>
          <t>https://www.amazon.com.br/dp/B094QSBVNB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344.79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Suvinil Toque de Seda acetinado 3,6 L — preço da base branca; cor em loja (conferir)</t>
        </is>
      </c>
      <c r="D19" s="8" t="inlineStr">
        <is>
          <t>Amazon</t>
        </is>
      </c>
      <c r="E19" s="9" t="inlineStr">
        <is>
          <t>https://www.amazon.com.br/dp/B077G8JCN6</t>
        </is>
      </c>
      <c r="F19" s="8" t="inlineStr">
        <is>
          <t>3,6 L</t>
        </is>
      </c>
      <c r="G19" s="8" t="inlineStr">
        <is>
          <t>Acrílica acetinada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206.1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Suvinil acrílica fosca para teto Branco Neve 3,6 L</t>
        </is>
      </c>
      <c r="D20" s="8" t="inlineStr">
        <is>
          <t>Amazon</t>
        </is>
      </c>
      <c r="E20" s="9" t="inlineStr">
        <is>
          <t>https://www.amazon.com.br/dp/B077G6GQSP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171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Selador acrílico</t>
        </is>
      </c>
      <c r="C21" s="8" t="inlineStr">
        <is>
          <t>Selador acrílico 3,6 L</t>
        </is>
      </c>
      <c r="D21" s="8" t="inlineStr">
        <is>
          <t>Amazon</t>
        </is>
      </c>
      <c r="E21" s="9" t="inlineStr">
        <is>
          <t>https://www.amazon.com.br/dp/B0HCR49N2B</t>
        </is>
      </c>
      <c r="F21" s="8" t="inlineStr">
        <is>
          <t>3,6 L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galão</t>
        </is>
      </c>
      <c r="L21" s="11" t="n">
        <v>40.4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Kit pintura</t>
        </is>
      </c>
      <c r="C22" s="8" t="inlineStr">
        <is>
          <t>Kit anti-gotas rolos 23/9 cm, bandeja, suporte e trincha</t>
        </is>
      </c>
      <c r="D22" s="8" t="inlineStr">
        <is>
          <t>Amazon</t>
        </is>
      </c>
      <c r="E22" s="9" t="inlineStr">
        <is>
          <t>https://www.amazon.com.br/dp/B0H6CMVSRL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31.99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Fita crepe</t>
        </is>
      </c>
      <c r="C23" s="8" t="inlineStr">
        <is>
          <t>Kit 2 fitas crepe 48 mm × 50 m</t>
        </is>
      </c>
      <c r="D23" s="8" t="inlineStr">
        <is>
          <t>Amazon</t>
        </is>
      </c>
      <c r="E23" s="9" t="inlineStr">
        <is>
          <t>https://www.amazon.com.br/dp/B0H8BCLC4J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kit</t>
        </is>
      </c>
      <c r="L23" s="11" t="n">
        <v>29.8</v>
      </c>
      <c r="M23" s="12">
        <f>J23*L23</f>
        <v/>
      </c>
    </row>
    <row r="24">
      <c r="A24" s="8" t="inlineStr">
        <is>
          <t>Pintura</t>
        </is>
      </c>
      <c r="B24" s="8" t="inlineStr">
        <is>
          <t>Proteção de piso/móveis</t>
        </is>
      </c>
      <c r="C24" s="8" t="inlineStr">
        <is>
          <t>Lona protetora c/ fita 1,5 × 10 m</t>
        </is>
      </c>
      <c r="D24" s="8" t="inlineStr">
        <is>
          <t>Amazon</t>
        </is>
      </c>
      <c r="E24" s="9" t="inlineStr">
        <is>
          <t>https://www.amazon.com.br/dp/B0GVPX4YVY</t>
        </is>
      </c>
      <c r="F24" s="8" t="inlineStr">
        <is>
          <t>—</t>
        </is>
      </c>
      <c r="G24" s="8" t="inlineStr">
        <is>
          <t>—</t>
        </is>
      </c>
      <c r="H24" s="8" t="inlineStr">
        <is>
          <t>Pesquisado (listagem da loja)</t>
        </is>
      </c>
      <c r="I24" s="8" t="inlineStr">
        <is>
          <t>30/10/2026</t>
        </is>
      </c>
      <c r="J24" s="10" t="n">
        <v>1</v>
      </c>
      <c r="K24" s="8" t="inlineStr">
        <is>
          <t>un</t>
        </is>
      </c>
      <c r="L24" s="11" t="n">
        <v>15.9</v>
      </c>
      <c r="M24" s="12">
        <f>J24*L24</f>
        <v/>
      </c>
    </row>
    <row r="25">
      <c r="A25" s="13" t="inlineStr">
        <is>
          <t>Pintura</t>
        </is>
      </c>
      <c r="B25" s="13" t="inlineStr">
        <is>
          <t>Massa/reparos</t>
        </is>
      </c>
      <c r="C25" s="13" t="inlineStr">
        <is>
          <t>Massa corrida + lixa</t>
        </is>
      </c>
      <c r="D25" s="13" t="inlineStr">
        <is>
          <t>—</t>
        </is>
      </c>
      <c r="E25" s="13" t="inlineStr">
        <is>
          <t>Estimativa</t>
        </is>
      </c>
      <c r="F25" s="13" t="inlineStr">
        <is>
          <t>—</t>
        </is>
      </c>
      <c r="G25" s="13" t="inlineStr">
        <is>
          <t>—</t>
        </is>
      </c>
      <c r="H25" s="13" t="inlineStr">
        <is>
          <t>Estimativa</t>
        </is>
      </c>
      <c r="I25" s="13" t="inlineStr">
        <is>
          <t>30/10/2026</t>
        </is>
      </c>
      <c r="J25" s="14" t="n">
        <v>1</v>
      </c>
      <c r="K25" s="13" t="inlineStr">
        <is>
          <t>vb</t>
        </is>
      </c>
      <c r="L25" s="15" t="n">
        <v>90</v>
      </c>
      <c r="M25" s="16">
        <f>J25*L25</f>
        <v/>
      </c>
    </row>
    <row r="26">
      <c r="A26" s="8" t="inlineStr">
        <is>
          <t>Complementares</t>
        </is>
      </c>
      <c r="B26" s="8" t="inlineStr">
        <is>
          <t>Tapete</t>
        </is>
      </c>
      <c r="C26" s="8" t="inlineStr">
        <is>
          <t>Tapete pelo baixo c/ relevo cinza escuro 2,00 × 1,40</t>
        </is>
      </c>
      <c r="D26" s="8" t="inlineStr">
        <is>
          <t>Amazon</t>
        </is>
      </c>
      <c r="E26" s="9" t="inlineStr">
        <is>
          <t>https://www.amazon.com.br/dp/B0GXCDQG6W</t>
        </is>
      </c>
      <c r="F26" s="8" t="inlineStr">
        <is>
          <t>140 × 200</t>
        </is>
      </c>
      <c r="G26" s="8" t="inlineStr">
        <is>
          <t>Sintético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142.4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Filtro de linha c/ DPS</t>
        </is>
      </c>
      <c r="C27" s="8" t="inlineStr">
        <is>
          <t>iCLAMPER Energia 5 tomadas</t>
        </is>
      </c>
      <c r="D27" s="8" t="inlineStr">
        <is>
          <t>Amazon</t>
        </is>
      </c>
      <c r="E27" s="9" t="inlineStr">
        <is>
          <t>https://www.amazon.com.br/dp/B0D8V17JSG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71.98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Prolongador da tomada (ripado)</t>
        </is>
      </c>
      <c r="C28" s="8" t="inlineStr">
        <is>
          <t>Margirius prolongador caixa 4×2</t>
        </is>
      </c>
      <c r="D28" s="8" t="inlineStr">
        <is>
          <t>Amazon</t>
        </is>
      </c>
      <c r="E28" s="9" t="inlineStr">
        <is>
          <t>https://www.amazon.com.br/dp/B089M44PPG</t>
        </is>
      </c>
      <c r="F28" s="8" t="inlineStr">
        <is>
          <t>—</t>
        </is>
      </c>
      <c r="G28" s="8" t="inlineStr">
        <is>
          <t>—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23.27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Suporte de notebook</t>
        </is>
      </c>
      <c r="C29" s="8" t="inlineStr">
        <is>
          <t>Suporte aço carbono base giratória 360°</t>
        </is>
      </c>
      <c r="D29" s="8" t="inlineStr">
        <is>
          <t>Amazon</t>
        </is>
      </c>
      <c r="E29" s="9" t="inlineStr">
        <is>
          <t>https://www.amazon.com.br/dp/B0HFNYSZHZ</t>
        </is>
      </c>
      <c r="F29" s="8" t="inlineStr">
        <is>
          <t>—</t>
        </is>
      </c>
      <c r="G29" s="8" t="inlineStr">
        <is>
          <t>Aço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un</t>
        </is>
      </c>
      <c r="L29" s="11" t="n">
        <v>109.15</v>
      </c>
      <c r="M29" s="12">
        <f>J29*L29</f>
        <v/>
      </c>
    </row>
    <row r="30">
      <c r="A30" s="13" t="inlineStr">
        <is>
          <t>Serviços</t>
        </is>
      </c>
      <c r="B30" s="13" t="inlineStr">
        <is>
          <t>Mão de obra de pintura</t>
        </is>
      </c>
      <c r="C30" s="13" t="inlineStr">
        <is>
          <t>Pintor c/ preparo completo (paredes + teto)</t>
        </is>
      </c>
      <c r="D30" s="13" t="inlineStr">
        <is>
          <t>Profissional local</t>
        </is>
      </c>
      <c r="E30" s="13" t="inlineStr">
        <is>
          <t>Faixa R$ 15–35/m² simples; R$ 35–60/m² com preparo (Lar Pontual) — https://larpontual.com.br/portal/preco-de-pintor-por-m2</t>
        </is>
      </c>
      <c r="F30" s="13" t="inlineStr">
        <is>
          <t>—</t>
        </is>
      </c>
      <c r="G30" s="13" t="inlineStr">
        <is>
          <t>—</t>
        </is>
      </c>
      <c r="H30" s="13" t="inlineStr">
        <is>
          <t>Estimativa</t>
        </is>
      </c>
      <c r="I30" s="13" t="inlineStr">
        <is>
          <t>30/10/2026</t>
        </is>
      </c>
      <c r="J30" s="14">
        <f>area_pintura_total</f>
        <v/>
      </c>
      <c r="K30" s="13" t="inlineStr">
        <is>
          <t>m²</t>
        </is>
      </c>
      <c r="L30" s="15" t="n">
        <v>55</v>
      </c>
      <c r="M30" s="16">
        <f>J30*L30</f>
        <v/>
      </c>
    </row>
    <row r="31">
      <c r="A31" s="13" t="inlineStr">
        <is>
          <t>Serviços</t>
        </is>
      </c>
      <c r="B31" s="13" t="inlineStr">
        <is>
          <t>Instalação da iluminação</t>
        </is>
      </c>
      <c r="C31" s="13" t="inlineStr">
        <is>
          <t>Montagem das fitas/perfis/fontes (marceneiro ou eletricista)</t>
        </is>
      </c>
      <c r="D31" s="13" t="inlineStr">
        <is>
          <t>Profissional local</t>
        </is>
      </c>
      <c r="E31" s="13" t="inlineStr">
        <is>
          <t>Estimativa</t>
        </is>
      </c>
      <c r="F31" s="13" t="inlineStr">
        <is>
          <t>—</t>
        </is>
      </c>
      <c r="G31" s="13" t="inlineStr">
        <is>
          <t>—</t>
        </is>
      </c>
      <c r="H31" s="13" t="inlineStr">
        <is>
          <t>Estimativa</t>
        </is>
      </c>
      <c r="I31" s="13" t="inlineStr">
        <is>
          <t>30/10/2026</t>
        </is>
      </c>
      <c r="J31" s="14" t="n">
        <v>1</v>
      </c>
      <c r="K31" s="13" t="inlineStr">
        <is>
          <t>vb</t>
        </is>
      </c>
      <c r="L31" s="15" t="n">
        <v>400</v>
      </c>
      <c r="M31" s="16">
        <f>J31*L31</f>
        <v/>
      </c>
    </row>
    <row r="32">
      <c r="A32" s="13" t="inlineStr">
        <is>
          <t>Serviços</t>
        </is>
      </c>
      <c r="B32" s="13" t="inlineStr">
        <is>
          <t>Frete e taxas de importação</t>
        </is>
      </c>
      <c r="C32" s="13" t="inlineStr">
        <is>
          <t>Reserva (Amazon Global pode ter impostos)</t>
        </is>
      </c>
      <c r="D32" s="13" t="inlineStr">
        <is>
          <t>—</t>
        </is>
      </c>
      <c r="E32" s="13" t="inlineStr">
        <is>
          <t>Estimativa</t>
        </is>
      </c>
      <c r="F32" s="13" t="inlineStr">
        <is>
          <t>—</t>
        </is>
      </c>
      <c r="G32" s="13" t="inlineStr">
        <is>
          <t>—</t>
        </is>
      </c>
      <c r="H32" s="13" t="inlineStr">
        <is>
          <t>Estimativa</t>
        </is>
      </c>
      <c r="I32" s="13" t="inlineStr">
        <is>
          <t>30/10/2026</t>
        </is>
      </c>
      <c r="J32" s="14" t="n">
        <v>1</v>
      </c>
      <c r="K32" s="13" t="inlineStr">
        <is>
          <t>vb</t>
        </is>
      </c>
      <c r="L32" s="15" t="n">
        <v>450</v>
      </c>
      <c r="M32" s="16">
        <f>J32*L32</f>
        <v/>
      </c>
    </row>
    <row r="34">
      <c r="L34" s="4" t="inlineStr">
        <is>
          <t>Subtotal itens</t>
        </is>
      </c>
      <c r="M34" s="6">
        <f>SUM(M4:M32)</f>
        <v/>
      </c>
    </row>
    <row r="35">
      <c r="L35" s="4" t="inlineStr">
        <is>
          <t>Reserva para imprevistos</t>
        </is>
      </c>
      <c r="M35" s="6">
        <f>M34*contingencia</f>
        <v/>
      </c>
    </row>
    <row r="36">
      <c r="L36" s="4" t="inlineStr">
        <is>
          <t>TOTAL</t>
        </is>
      </c>
      <c r="M36" s="6">
        <f>M34+M35</f>
        <v/>
      </c>
    </row>
  </sheetData>
  <autoFilter ref="A3:M32"/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5" r:id="rId9"/>
    <hyperlink xmlns:r="http://schemas.openxmlformats.org/officeDocument/2006/relationships" ref="E16" r:id="rId10"/>
    <hyperlink xmlns:r="http://schemas.openxmlformats.org/officeDocument/2006/relationships" ref="E17" r:id="rId11"/>
    <hyperlink xmlns:r="http://schemas.openxmlformats.org/officeDocument/2006/relationships" ref="E18" r:id="rId12"/>
    <hyperlink xmlns:r="http://schemas.openxmlformats.org/officeDocument/2006/relationships" ref="E19" r:id="rId13"/>
    <hyperlink xmlns:r="http://schemas.openxmlformats.org/officeDocument/2006/relationships" ref="E20" r:id="rId14"/>
    <hyperlink xmlns:r="http://schemas.openxmlformats.org/officeDocument/2006/relationships" ref="E21" r:id="rId15"/>
    <hyperlink xmlns:r="http://schemas.openxmlformats.org/officeDocument/2006/relationships" ref="E22" r:id="rId16"/>
    <hyperlink xmlns:r="http://schemas.openxmlformats.org/officeDocument/2006/relationships" ref="E23" r:id="rId17"/>
    <hyperlink xmlns:r="http://schemas.openxmlformats.org/officeDocument/2006/relationships" ref="E24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14" customWidth="1" min="3" max="3"/>
    <col width="8" customWidth="1" min="4" max="4"/>
    <col width="14" customWidth="1" min="5" max="5"/>
  </cols>
  <sheetData>
    <row r="1">
      <c r="A1" s="7" t="inlineStr">
        <is>
          <t>Quantitativos técnicos — altere os valores em azul; o resto recalcula</t>
        </is>
      </c>
    </row>
    <row r="3">
      <c r="A3" s="2" t="inlineStr">
        <is>
          <t>Nome</t>
        </is>
      </c>
      <c r="B3" s="2" t="inlineStr">
        <is>
          <t>Descrição</t>
        </is>
      </c>
      <c r="C3" s="2" t="inlineStr">
        <is>
          <t>Valor</t>
        </is>
      </c>
      <c r="D3" s="2" t="inlineStr">
        <is>
          <t>Unid.</t>
        </is>
      </c>
      <c r="E3" s="2" t="inlineStr">
        <is>
          <t>Status</t>
        </is>
      </c>
    </row>
    <row r="4">
      <c r="A4" t="inlineStr">
        <is>
          <t>pe_direito</t>
        </is>
      </c>
      <c r="B4" t="inlineStr">
        <is>
          <t>Pé-direito</t>
        </is>
      </c>
      <c r="C4" s="17" t="n">
        <v>2.64</v>
      </c>
      <c r="D4" t="inlineStr">
        <is>
          <t>m</t>
        </is>
      </c>
      <c r="E4" t="inlineStr">
        <is>
          <t>Confirmada</t>
        </is>
      </c>
    </row>
    <row r="5">
      <c r="A5" t="inlineStr">
        <is>
          <t>parede_e_comp</t>
        </is>
      </c>
      <c r="B5" t="inlineStr">
        <is>
          <t>Parede E — comprimento</t>
        </is>
      </c>
      <c r="C5" s="17" t="n">
        <v>2.85</v>
      </c>
      <c r="D5" t="inlineStr">
        <is>
          <t>m</t>
        </is>
      </c>
      <c r="E5" t="inlineStr">
        <is>
          <t>Confirmada</t>
        </is>
      </c>
    </row>
    <row r="6">
      <c r="A6" t="inlineStr">
        <is>
          <t>janela_l</t>
        </is>
      </c>
      <c r="B6" t="inlineStr">
        <is>
          <t>Janela — largura</t>
        </is>
      </c>
      <c r="C6" s="17" t="n">
        <v>1.45</v>
      </c>
      <c r="D6" t="inlineStr">
        <is>
          <t>m</t>
        </is>
      </c>
      <c r="E6" t="inlineStr">
        <is>
          <t>Calculada</t>
        </is>
      </c>
    </row>
    <row r="7">
      <c r="A7" t="inlineStr">
        <is>
          <t>janela_h</t>
        </is>
      </c>
      <c r="B7" t="inlineStr">
        <is>
          <t>Janela — altura</t>
        </is>
      </c>
      <c r="C7" s="17" t="n">
        <v>1.2</v>
      </c>
      <c r="D7" t="inlineStr">
        <is>
          <t>m</t>
        </is>
      </c>
      <c r="E7" t="inlineStr">
        <is>
          <t>Confirmada*</t>
        </is>
      </c>
    </row>
    <row r="8">
      <c r="A8" t="inlineStr">
        <is>
          <t>parede_c_comp</t>
        </is>
      </c>
      <c r="B8" t="inlineStr">
        <is>
          <t>Parede C — comprimento</t>
        </is>
      </c>
      <c r="C8" s="17" t="n">
        <v>2</v>
      </c>
      <c r="D8" t="inlineStr">
        <is>
          <t>m</t>
        </is>
      </c>
      <c r="E8" t="inlineStr">
        <is>
          <t>Confirmada</t>
        </is>
      </c>
    </row>
    <row r="9">
      <c r="A9" t="inlineStr">
        <is>
          <t>bwc_trechos</t>
        </is>
      </c>
      <c r="B9" t="inlineStr">
        <is>
          <t>Parede do banheiro voltada à faixa (sem o vão da porta)</t>
        </is>
      </c>
      <c r="C9" s="17" t="n">
        <v>1.12</v>
      </c>
      <c r="D9" t="inlineStr">
        <is>
          <t>m</t>
        </is>
      </c>
      <c r="E9" t="inlineStr">
        <is>
          <t>Calculada</t>
        </is>
      </c>
    </row>
    <row r="10">
      <c r="A10" t="inlineStr">
        <is>
          <t>porta_bwc_l</t>
        </is>
      </c>
      <c r="B10" t="inlineStr">
        <is>
          <t>Porta do banheiro c/ batente</t>
        </is>
      </c>
      <c r="C10" s="17" t="n">
        <v>0.73</v>
      </c>
      <c r="D10" t="inlineStr">
        <is>
          <t>m</t>
        </is>
      </c>
      <c r="E10" t="inlineStr">
        <is>
          <t>Confirmada</t>
        </is>
      </c>
    </row>
    <row r="11">
      <c r="A11" t="inlineStr">
        <is>
          <t>porta_h</t>
        </is>
      </c>
      <c r="B11" t="inlineStr">
        <is>
          <t>Altura das portas (padrão)</t>
        </is>
      </c>
      <c r="C11" s="17" t="n">
        <v>2.1</v>
      </c>
      <c r="D11" t="inlineStr">
        <is>
          <t>m</t>
        </is>
      </c>
      <c r="E11" t="inlineStr">
        <is>
          <t>Estimada</t>
        </is>
      </c>
    </row>
    <row r="12">
      <c r="A12" t="inlineStr">
        <is>
          <t>faixa</t>
        </is>
      </c>
      <c r="B12" t="inlineStr">
        <is>
          <t>Faixa de entrada (parede leste)</t>
        </is>
      </c>
      <c r="C12" s="17" t="n">
        <v>0.86</v>
      </c>
      <c r="D12" t="inlineStr">
        <is>
          <t>m</t>
        </is>
      </c>
      <c r="E12" t="inlineStr">
        <is>
          <t>Confirmada</t>
        </is>
      </c>
    </row>
    <row r="13">
      <c r="A13" t="inlineStr">
        <is>
          <t>porta_ent_l</t>
        </is>
      </c>
      <c r="B13" t="inlineStr">
        <is>
          <t>Porta de entrada c/ batente</t>
        </is>
      </c>
      <c r="C13" s="17" t="n">
        <v>0.8</v>
      </c>
      <c r="D13" t="inlineStr">
        <is>
          <t>m</t>
        </is>
      </c>
      <c r="E13" t="inlineStr">
        <is>
          <t>Confirmada</t>
        </is>
      </c>
    </row>
    <row r="14">
      <c r="A14" t="inlineStr">
        <is>
          <t>parede_d_comp</t>
        </is>
      </c>
      <c r="B14" t="inlineStr">
        <is>
          <t>Parede D — comprimento</t>
        </is>
      </c>
      <c r="C14" s="17" t="n">
        <v>2.65</v>
      </c>
      <c r="D14" t="inlineStr">
        <is>
          <t>m</t>
        </is>
      </c>
      <c r="E14" t="inlineStr">
        <is>
          <t>Confirmada</t>
        </is>
      </c>
    </row>
    <row r="15">
      <c r="A15" t="inlineStr">
        <is>
          <t>teto_faixa_l</t>
        </is>
      </c>
      <c r="B15" t="inlineStr">
        <is>
          <t>Faixa de entrada — comprimento</t>
        </is>
      </c>
      <c r="C15" s="17" t="n">
        <v>1.95</v>
      </c>
      <c r="D15" t="inlineStr">
        <is>
          <t>m</t>
        </is>
      </c>
      <c r="E15" t="inlineStr">
        <is>
          <t>Calculada</t>
        </is>
      </c>
    </row>
    <row r="16">
      <c r="A16" t="inlineStr">
        <is>
          <t>area_e</t>
        </is>
      </c>
      <c r="B16" t="inlineStr">
        <is>
          <t>Área Parede E (− janela)</t>
        </is>
      </c>
      <c r="C16" s="18">
        <f>parede_e_comp*pe_direito-janela_l*janela_h</f>
        <v/>
      </c>
      <c r="D16" t="inlineStr">
        <is>
          <t>m²</t>
        </is>
      </c>
      <c r="E16" t="inlineStr">
        <is>
          <t>Calculada</t>
        </is>
      </c>
    </row>
    <row r="17">
      <c r="A17" t="inlineStr">
        <is>
          <t>area_c</t>
        </is>
      </c>
      <c r="B17" t="inlineStr">
        <is>
          <t>Área Parede C</t>
        </is>
      </c>
      <c r="C17" s="18">
        <f>parede_c_comp*pe_direito</f>
        <v/>
      </c>
      <c r="D17" t="inlineStr">
        <is>
          <t>m²</t>
        </is>
      </c>
      <c r="E17" t="inlineStr">
        <is>
          <t>Calculada</t>
        </is>
      </c>
    </row>
    <row r="18">
      <c r="A18" t="inlineStr">
        <is>
          <t>area_bwc</t>
        </is>
      </c>
      <c r="B18" t="inlineStr">
        <is>
          <t>Área parede do banheiro (+ acima da porta)</t>
        </is>
      </c>
      <c r="C18" s="18">
        <f>bwc_trechos*pe_direito+porta_bwc_l*(pe_direito-porta_h)</f>
        <v/>
      </c>
      <c r="D18" t="inlineStr">
        <is>
          <t>m²</t>
        </is>
      </c>
      <c r="E18" t="inlineStr">
        <is>
          <t>Calculada</t>
        </is>
      </c>
    </row>
    <row r="19">
      <c r="A19" t="inlineStr">
        <is>
          <t>area_leste</t>
        </is>
      </c>
      <c r="B19" t="inlineStr">
        <is>
          <t>Área parede leste (− porta)</t>
        </is>
      </c>
      <c r="C19" s="18">
        <f>faixa*pe_direito-porta_ent_l*porta_h</f>
        <v/>
      </c>
      <c r="D19" t="inlineStr">
        <is>
          <t>m²</t>
        </is>
      </c>
      <c r="E19" t="inlineStr">
        <is>
          <t>Calculada</t>
        </is>
      </c>
    </row>
    <row r="20">
      <c r="A20" t="inlineStr">
        <is>
          <t>area_paredes</t>
        </is>
      </c>
      <c r="B20" t="inlineStr">
        <is>
          <t>TOTAL paredes grafite</t>
        </is>
      </c>
      <c r="C20" s="18">
        <f>area_e+area_c+area_bwc+area_leste</f>
        <v/>
      </c>
      <c r="D20" t="inlineStr">
        <is>
          <t>m²</t>
        </is>
      </c>
      <c r="E20" t="inlineStr">
        <is>
          <t>Calculada</t>
        </is>
      </c>
    </row>
    <row r="21">
      <c r="A21" t="inlineStr">
        <is>
          <t>area_teto</t>
        </is>
      </c>
      <c r="B21" t="inlineStr">
        <is>
          <t>Área do teto</t>
        </is>
      </c>
      <c r="C21" s="18">
        <f>parede_d_comp*parede_e_comp+teto_faixa_l*faixa</f>
        <v/>
      </c>
      <c r="D21" t="inlineStr">
        <is>
          <t>m²</t>
        </is>
      </c>
      <c r="E21" t="inlineStr">
        <is>
          <t>Calculada</t>
        </is>
      </c>
    </row>
    <row r="22">
      <c r="A22" t="inlineStr">
        <is>
          <t>area_pintura_total</t>
        </is>
      </c>
      <c r="B22" t="inlineStr">
        <is>
          <t>Área total de pintura (paredes + teto)</t>
        </is>
      </c>
      <c r="C22" s="18">
        <f>area_paredes+area_teto</f>
        <v/>
      </c>
      <c r="D22" t="inlineStr">
        <is>
          <t>m²</t>
        </is>
      </c>
      <c r="E22" t="inlineStr">
        <is>
          <t>Calculada</t>
        </is>
      </c>
    </row>
    <row r="23">
      <c r="A23" t="inlineStr">
        <is>
          <t>area_ripado</t>
        </is>
      </c>
      <c r="B23" t="inlineStr">
        <is>
          <t>Área do ripado (Parede D inteira)</t>
        </is>
      </c>
      <c r="C23" s="18">
        <f>parede_d_comp*pe_direito</f>
        <v/>
      </c>
      <c r="D23" t="inlineStr">
        <is>
          <t>m²</t>
        </is>
      </c>
      <c r="E23" t="inlineStr">
        <is>
          <t>Calculada</t>
        </is>
      </c>
    </row>
    <row r="24">
      <c r="A24" t="inlineStr">
        <is>
          <t>demaos_parede</t>
        </is>
      </c>
      <c r="B24" t="inlineStr">
        <is>
          <t>Demãos nas paredes (cor escura sobre clara)</t>
        </is>
      </c>
      <c r="C24" s="17" t="n">
        <v>3</v>
      </c>
      <c r="D24" t="inlineStr">
        <is>
          <t>un</t>
        </is>
      </c>
      <c r="E24" t="inlineStr">
        <is>
          <t>Premissa</t>
        </is>
      </c>
    </row>
    <row r="25">
      <c r="A25" t="inlineStr">
        <is>
          <t>demaos_teto</t>
        </is>
      </c>
      <c r="B25" t="inlineStr">
        <is>
          <t>Demãos no teto</t>
        </is>
      </c>
      <c r="C25" s="17" t="n">
        <v>2</v>
      </c>
      <c r="D25" t="inlineStr">
        <is>
          <t>un</t>
        </is>
      </c>
      <c r="E25" t="inlineStr">
        <is>
          <t>Premissa</t>
        </is>
      </c>
    </row>
    <row r="26">
      <c r="A26" t="inlineStr">
        <is>
          <t>perda_tinta</t>
        </is>
      </c>
      <c r="B26" t="inlineStr">
        <is>
          <t>Perda de tinta</t>
        </is>
      </c>
      <c r="C26" s="19" t="n">
        <v>0.1</v>
      </c>
      <c r="D26" t="inlineStr">
        <is>
          <t>%</t>
        </is>
      </c>
      <c r="E26" t="inlineStr">
        <is>
          <t>Premissa</t>
        </is>
      </c>
    </row>
    <row r="27">
      <c r="A27" t="inlineStr">
        <is>
          <t>rend_galao</t>
        </is>
      </c>
      <c r="B27" t="inlineStr">
        <is>
          <t>Rendimento por galão 3,6 L por demão (conservador; conferir embalagem)</t>
        </is>
      </c>
      <c r="C27" s="17" t="n">
        <v>40</v>
      </c>
      <c r="D27" t="inlineStr">
        <is>
          <t>m²</t>
        </is>
      </c>
      <c r="E27" t="inlineStr">
        <is>
          <t>Estimada</t>
        </is>
      </c>
    </row>
    <row r="28">
      <c r="A28" t="inlineStr">
        <is>
          <t>galoes_parede</t>
        </is>
      </c>
      <c r="B28" t="inlineStr">
        <is>
          <t>Galões para paredes</t>
        </is>
      </c>
      <c r="C28" s="18">
        <f>ROUNDUP(area_paredes*demaos_parede*(1+perda_tinta)/rend_galao,0)</f>
        <v/>
      </c>
      <c r="D28" t="inlineStr">
        <is>
          <t>galão</t>
        </is>
      </c>
      <c r="E28" t="inlineStr">
        <is>
          <t>Calculada</t>
        </is>
      </c>
    </row>
    <row r="29">
      <c r="A29" t="inlineStr">
        <is>
          <t>galoes_teto</t>
        </is>
      </c>
      <c r="B29" t="inlineStr">
        <is>
          <t>Galões para teto</t>
        </is>
      </c>
      <c r="C29" s="18">
        <f>ROUNDUP(area_teto*demaos_teto*(1+perda_tinta)/rend_galao,0)</f>
        <v/>
      </c>
      <c r="D29" t="inlineStr">
        <is>
          <t>galão</t>
        </is>
      </c>
      <c r="E29" t="inlineStr">
        <is>
          <t>Calculada</t>
        </is>
      </c>
    </row>
    <row r="30">
      <c r="A30" t="inlineStr">
        <is>
          <t>led_prateleira</t>
        </is>
      </c>
      <c r="B30" t="inlineStr">
        <is>
          <t>LED sob a prateleira</t>
        </is>
      </c>
      <c r="C30" s="17" t="n">
        <v>1.7</v>
      </c>
      <c r="D30" t="inlineStr">
        <is>
          <t>m</t>
        </is>
      </c>
      <c r="E30" t="inlineStr">
        <is>
          <t>Projeto</t>
        </is>
      </c>
    </row>
    <row r="31">
      <c r="A31" t="inlineStr">
        <is>
          <t>led_vertical</t>
        </is>
      </c>
      <c r="B31" t="inlineStr">
        <is>
          <t>LED vertical no ripado (por perfil)</t>
        </is>
      </c>
      <c r="C31" s="17" t="n">
        <v>2.4</v>
      </c>
      <c r="D31" t="inlineStr">
        <is>
          <t>m</t>
        </is>
      </c>
      <c r="E31" t="inlineStr">
        <is>
          <t>Projeto</t>
        </is>
      </c>
    </row>
    <row r="32">
      <c r="A32" t="inlineStr">
        <is>
          <t>n_verticais</t>
        </is>
      </c>
      <c r="B32" t="inlineStr">
        <is>
          <t>Nº de perfis verticais (Econômico/Equilibrado)</t>
        </is>
      </c>
      <c r="C32" s="17" t="n">
        <v>1</v>
      </c>
      <c r="D32" t="inlineStr">
        <is>
          <t>un</t>
        </is>
      </c>
      <c r="E32" t="inlineStr">
        <is>
          <t>Projeto</t>
        </is>
      </c>
    </row>
    <row r="33">
      <c r="A33" t="inlineStr">
        <is>
          <t>perda_led</t>
        </is>
      </c>
      <c r="B33" t="inlineStr">
        <is>
          <t>Sobra de corte da fita</t>
        </is>
      </c>
      <c r="C33" s="19" t="n">
        <v>0.1</v>
      </c>
      <c r="D33" t="inlineStr">
        <is>
          <t>%</t>
        </is>
      </c>
      <c r="E33" t="inlineStr">
        <is>
          <t>Premissa</t>
        </is>
      </c>
    </row>
    <row r="34">
      <c r="A34" t="inlineStr">
        <is>
          <t>metros_led</t>
        </is>
      </c>
      <c r="B34" t="inlineStr">
        <is>
          <t>Metros de fita LED</t>
        </is>
      </c>
      <c r="C34" s="18">
        <f>(led_prateleira+led_vertical*n_verticais)*(1+perda_led)</f>
        <v/>
      </c>
      <c r="D34" t="inlineStr">
        <is>
          <t>m</t>
        </is>
      </c>
      <c r="E34" t="inlineStr">
        <is>
          <t>Calculada</t>
        </is>
      </c>
    </row>
    <row r="35">
      <c r="A35" t="inlineStr">
        <is>
          <t>rolos_led</t>
        </is>
      </c>
      <c r="B35" t="inlineStr">
        <is>
          <t>Rolos de 5 m</t>
        </is>
      </c>
      <c r="C35" s="18">
        <f>ROUNDUP(metros_led/5,0)</f>
        <v/>
      </c>
      <c r="D35" t="inlineStr">
        <is>
          <t>rolo</t>
        </is>
      </c>
      <c r="E35" t="inlineStr">
        <is>
          <t>Calculada</t>
        </is>
      </c>
    </row>
    <row r="36">
      <c r="A36" t="inlineStr">
        <is>
          <t>barras_perfil</t>
        </is>
      </c>
      <c r="B36" t="inlineStr">
        <is>
          <t>Barras de perfil de 2 m</t>
        </is>
      </c>
      <c r="C36" s="18">
        <f>ROUNDUP(led_prateleira/2,0)+n_verticais*ROUNDUP(led_vertical/2,0)</f>
        <v/>
      </c>
      <c r="D36" t="inlineStr">
        <is>
          <t>barra</t>
        </is>
      </c>
      <c r="E36" t="inlineStr">
        <is>
          <t>Calculada</t>
        </is>
      </c>
    </row>
    <row r="37">
      <c r="A37" t="inlineStr">
        <is>
          <t>n_verticais_prem</t>
        </is>
      </c>
      <c r="B37" t="inlineStr">
        <is>
          <t>Nº de perfis verticais — Premium</t>
        </is>
      </c>
      <c r="C37" s="17" t="n">
        <v>2</v>
      </c>
      <c r="D37" t="inlineStr">
        <is>
          <t>un</t>
        </is>
      </c>
      <c r="E37" t="inlineStr">
        <is>
          <t>Projeto</t>
        </is>
      </c>
    </row>
    <row r="38">
      <c r="A38" t="inlineStr">
        <is>
          <t>metros_led_prem</t>
        </is>
      </c>
      <c r="B38" t="inlineStr">
        <is>
          <t>Metros de fita LED — Premium</t>
        </is>
      </c>
      <c r="C38" s="18">
        <f>(led_prateleira+led_vertical*n_verticais_prem)*(1+perda_led)</f>
        <v/>
      </c>
      <c r="D38" t="inlineStr">
        <is>
          <t>m</t>
        </is>
      </c>
      <c r="E38" t="inlineStr">
        <is>
          <t>Calculada</t>
        </is>
      </c>
    </row>
    <row r="39">
      <c r="A39" t="inlineStr">
        <is>
          <t>rolos_led_prem</t>
        </is>
      </c>
      <c r="B39" t="inlineStr">
        <is>
          <t>Rolos de 5 m — Premium</t>
        </is>
      </c>
      <c r="C39" s="18">
        <f>ROUNDUP(metros_led_prem/5,0)</f>
        <v/>
      </c>
      <c r="D39" t="inlineStr">
        <is>
          <t>rolo</t>
        </is>
      </c>
      <c r="E39" t="inlineStr">
        <is>
          <t>Calculada</t>
        </is>
      </c>
    </row>
    <row r="40">
      <c r="A40" t="inlineStr">
        <is>
          <t>barras_perfil_prem</t>
        </is>
      </c>
      <c r="B40" t="inlineStr">
        <is>
          <t>Barras de perfil de 2 m — Premium</t>
        </is>
      </c>
      <c r="C40" s="18">
        <f>ROUNDUP(led_prateleira/2,0)+n_verticais_prem*ROUNDUP(led_vertical/2,0)</f>
        <v/>
      </c>
      <c r="D40" t="inlineStr">
        <is>
          <t>barra</t>
        </is>
      </c>
      <c r="E40" t="inlineStr">
        <is>
          <t>Calculada</t>
        </is>
      </c>
    </row>
    <row r="41">
      <c r="A41" t="inlineStr">
        <is>
          <t>contingencia</t>
        </is>
      </c>
      <c r="B41" t="inlineStr">
        <is>
          <t>Reserva para imprevistos</t>
        </is>
      </c>
      <c r="C41" s="19" t="n">
        <v>0.1</v>
      </c>
      <c r="D41" t="inlineStr">
        <is>
          <t>%</t>
        </is>
      </c>
      <c r="E41" t="inlineStr">
        <is>
          <t>Premissa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2026-10-31T00:28:49Z</dcterms:created>
  <dcterms:modified xsi:type="dcterms:W3CDTF">2026-10-31T00:28:49Z</dcterms:modified>
</cp:coreProperties>
</file>